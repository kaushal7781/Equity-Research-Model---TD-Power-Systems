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368" windowHeight="9384" tabRatio="500"/>
  </bookViews>
  <sheets>
    <sheet name="Cover" sheetId="1" r:id="rId1"/>
    <sheet name="Historical Financials" sheetId="2" r:id="rId2"/>
    <sheet name="DCF Valuation" sheetId="3" r:id="rId3"/>
    <sheet name="Comps Valuation" sheetId="4" r:id="rId4"/>
    <sheet name="Scenarios" sheetId="5" r:id="rId5"/>
    <sheet name="Ratio Dashboard" sheetId="6" r:id="rId6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6" l="1"/>
  <c r="D23" i="6"/>
  <c r="E23" i="6"/>
  <c r="F23" i="6"/>
  <c r="G23" i="6"/>
  <c r="H23" i="6"/>
  <c r="B23" i="6"/>
  <c r="C22" i="6"/>
  <c r="D22" i="6"/>
  <c r="E22" i="6"/>
  <c r="F22" i="6"/>
  <c r="G22" i="6"/>
  <c r="H22" i="6"/>
  <c r="B22" i="6"/>
  <c r="C19" i="6"/>
  <c r="D19" i="6"/>
  <c r="E19" i="6"/>
  <c r="F19" i="6"/>
  <c r="G19" i="6"/>
  <c r="H19" i="6"/>
  <c r="B19" i="6"/>
  <c r="C14" i="6"/>
  <c r="D14" i="6"/>
  <c r="E14" i="6"/>
  <c r="F14" i="6"/>
  <c r="G14" i="6"/>
  <c r="H14" i="6"/>
  <c r="B14" i="6"/>
  <c r="D16" i="5"/>
  <c r="C16" i="5"/>
  <c r="D14" i="5"/>
  <c r="C14" i="5"/>
  <c r="B14" i="5"/>
  <c r="B16" i="5" s="1"/>
  <c r="E16" i="5" s="1"/>
  <c r="C98" i="3" l="1"/>
  <c r="D98" i="3"/>
  <c r="E98" i="3"/>
  <c r="F98" i="3"/>
  <c r="G98" i="3"/>
  <c r="H98" i="3"/>
  <c r="C99" i="3"/>
  <c r="D99" i="3"/>
  <c r="E99" i="3"/>
  <c r="F99" i="3"/>
  <c r="G99" i="3"/>
  <c r="H99" i="3"/>
  <c r="C100" i="3"/>
  <c r="D100" i="3"/>
  <c r="E100" i="3"/>
  <c r="F100" i="3"/>
  <c r="G100" i="3"/>
  <c r="H100" i="3"/>
  <c r="C101" i="3"/>
  <c r="D101" i="3"/>
  <c r="E101" i="3"/>
  <c r="F101" i="3"/>
  <c r="G101" i="3"/>
  <c r="H101" i="3"/>
  <c r="C102" i="3"/>
  <c r="D102" i="3"/>
  <c r="E102" i="3"/>
  <c r="F102" i="3"/>
  <c r="G102" i="3"/>
  <c r="H102" i="3"/>
  <c r="C103" i="3"/>
  <c r="D103" i="3"/>
  <c r="E103" i="3"/>
  <c r="F103" i="3"/>
  <c r="G103" i="3"/>
  <c r="H103" i="3"/>
  <c r="C104" i="3"/>
  <c r="D104" i="3"/>
  <c r="E104" i="3"/>
  <c r="F104" i="3"/>
  <c r="G104" i="3"/>
  <c r="H104" i="3"/>
  <c r="B104" i="3"/>
  <c r="B103" i="3"/>
  <c r="B102" i="3"/>
  <c r="B101" i="3"/>
  <c r="B100" i="3"/>
  <c r="B99" i="3"/>
  <c r="B98" i="3"/>
  <c r="C89" i="3"/>
  <c r="D89" i="3"/>
  <c r="E89" i="3"/>
  <c r="F89" i="3"/>
  <c r="G89" i="3"/>
  <c r="H89" i="3"/>
  <c r="C90" i="3"/>
  <c r="D90" i="3"/>
  <c r="E90" i="3"/>
  <c r="F90" i="3"/>
  <c r="G90" i="3"/>
  <c r="H90" i="3"/>
  <c r="C91" i="3"/>
  <c r="D91" i="3"/>
  <c r="E91" i="3"/>
  <c r="F91" i="3"/>
  <c r="G91" i="3"/>
  <c r="H91" i="3"/>
  <c r="C92" i="3"/>
  <c r="D92" i="3"/>
  <c r="E92" i="3"/>
  <c r="F92" i="3"/>
  <c r="G92" i="3"/>
  <c r="H92" i="3"/>
  <c r="C93" i="3"/>
  <c r="D93" i="3"/>
  <c r="E93" i="3"/>
  <c r="F93" i="3"/>
  <c r="G93" i="3"/>
  <c r="H93" i="3"/>
  <c r="C94" i="3"/>
  <c r="D94" i="3"/>
  <c r="E94" i="3"/>
  <c r="F94" i="3"/>
  <c r="G94" i="3"/>
  <c r="H94" i="3"/>
  <c r="B94" i="3"/>
  <c r="B93" i="3"/>
  <c r="B92" i="3"/>
  <c r="B91" i="3"/>
  <c r="B90" i="3"/>
  <c r="B89" i="3"/>
  <c r="C88" i="3"/>
  <c r="D88" i="3"/>
  <c r="E88" i="3"/>
  <c r="F88" i="3"/>
  <c r="G88" i="3"/>
  <c r="H88" i="3"/>
  <c r="B88" i="3"/>
  <c r="H20" i="2"/>
  <c r="C36" i="3"/>
  <c r="D36" i="3"/>
  <c r="E36" i="3"/>
  <c r="F36" i="3"/>
  <c r="G36" i="3"/>
  <c r="B36" i="3"/>
  <c r="B37" i="3"/>
  <c r="H33" i="2"/>
  <c r="H32" i="2"/>
  <c r="G32" i="2"/>
  <c r="F32" i="2"/>
  <c r="E32" i="2"/>
  <c r="D32" i="2"/>
  <c r="C32" i="2"/>
  <c r="B32" i="2"/>
  <c r="J7" i="2"/>
  <c r="I7" i="2"/>
  <c r="H7" i="2"/>
  <c r="H8" i="2" s="1"/>
  <c r="H9" i="2" s="1"/>
  <c r="F7" i="2"/>
  <c r="G7" i="2"/>
  <c r="E7" i="2"/>
  <c r="D7" i="2"/>
  <c r="D8" i="2" s="1"/>
  <c r="D9" i="2" s="1"/>
  <c r="C7" i="2"/>
  <c r="B7" i="2"/>
  <c r="L18" i="4"/>
  <c r="L13" i="4"/>
  <c r="K13" i="4"/>
  <c r="J13" i="4"/>
  <c r="I13" i="4"/>
  <c r="H13" i="4"/>
  <c r="G13" i="4"/>
  <c r="F13" i="4"/>
  <c r="E13" i="4"/>
  <c r="D13" i="4"/>
  <c r="C13" i="4"/>
  <c r="B13" i="4"/>
  <c r="L12" i="4"/>
  <c r="K12" i="4"/>
  <c r="J12" i="4"/>
  <c r="I12" i="4"/>
  <c r="C19" i="4" s="1"/>
  <c r="H12" i="4"/>
  <c r="G12" i="4"/>
  <c r="C17" i="4" s="1"/>
  <c r="F12" i="4"/>
  <c r="C18" i="4" s="1"/>
  <c r="F18" i="4" s="1"/>
  <c r="H18" i="4" s="1"/>
  <c r="J18" i="4" s="1"/>
  <c r="E12" i="4"/>
  <c r="D12" i="4"/>
  <c r="C12" i="4"/>
  <c r="B12" i="4"/>
  <c r="B82" i="3"/>
  <c r="B83" i="3" s="1"/>
  <c r="B80" i="3"/>
  <c r="B78" i="3"/>
  <c r="C71" i="3"/>
  <c r="B60" i="3"/>
  <c r="B67" i="3" s="1"/>
  <c r="B50" i="3"/>
  <c r="B48" i="3"/>
  <c r="B46" i="3"/>
  <c r="H39" i="3"/>
  <c r="G39" i="3"/>
  <c r="F39" i="3"/>
  <c r="E39" i="3"/>
  <c r="D39" i="3"/>
  <c r="C39" i="3"/>
  <c r="B28" i="3"/>
  <c r="B31" i="3" s="1"/>
  <c r="H42" i="2"/>
  <c r="G42" i="2"/>
  <c r="F42" i="2"/>
  <c r="E42" i="2"/>
  <c r="D42" i="2"/>
  <c r="C42" i="2"/>
  <c r="B42" i="2"/>
  <c r="H39" i="2"/>
  <c r="G39" i="2"/>
  <c r="F39" i="2"/>
  <c r="E39" i="2"/>
  <c r="D39" i="2"/>
  <c r="C39" i="2"/>
  <c r="B39" i="2"/>
  <c r="H31" i="2"/>
  <c r="G31" i="2"/>
  <c r="F31" i="2"/>
  <c r="E31" i="2"/>
  <c r="D31" i="2"/>
  <c r="C31" i="2"/>
  <c r="B31" i="2"/>
  <c r="H26" i="2"/>
  <c r="G26" i="2"/>
  <c r="F26" i="2"/>
  <c r="E26" i="2"/>
  <c r="D26" i="2"/>
  <c r="C26" i="2"/>
  <c r="B26" i="2"/>
  <c r="J18" i="2"/>
  <c r="I18" i="2"/>
  <c r="H18" i="2"/>
  <c r="G18" i="2"/>
  <c r="F18" i="2"/>
  <c r="E18" i="2"/>
  <c r="D18" i="2"/>
  <c r="C18" i="2"/>
  <c r="B18" i="2"/>
  <c r="H15" i="2"/>
  <c r="G15" i="2"/>
  <c r="D15" i="2"/>
  <c r="C15" i="2"/>
  <c r="J13" i="2"/>
  <c r="J15" i="2" s="1"/>
  <c r="I13" i="2"/>
  <c r="I15" i="2" s="1"/>
  <c r="H13" i="2"/>
  <c r="G13" i="2"/>
  <c r="F13" i="2"/>
  <c r="F15" i="2" s="1"/>
  <c r="E13" i="2"/>
  <c r="E15" i="2" s="1"/>
  <c r="D13" i="2"/>
  <c r="C13" i="2"/>
  <c r="B13" i="2"/>
  <c r="B15" i="2" s="1"/>
  <c r="J11" i="2"/>
  <c r="I11" i="2"/>
  <c r="H11" i="2"/>
  <c r="G11" i="2"/>
  <c r="F11" i="2"/>
  <c r="E11" i="2"/>
  <c r="D11" i="2"/>
  <c r="C11" i="2"/>
  <c r="B11" i="2"/>
  <c r="J8" i="2"/>
  <c r="J9" i="2" s="1"/>
  <c r="I8" i="2"/>
  <c r="I9" i="2" s="1"/>
  <c r="G8" i="2"/>
  <c r="G9" i="2" s="1"/>
  <c r="F8" i="2"/>
  <c r="F9" i="2" s="1"/>
  <c r="E8" i="2"/>
  <c r="E9" i="2" s="1"/>
  <c r="C8" i="2"/>
  <c r="C9" i="2" s="1"/>
  <c r="B8" i="2"/>
  <c r="B9" i="2" s="1"/>
  <c r="J6" i="2"/>
  <c r="I6" i="2"/>
  <c r="H6" i="2"/>
  <c r="G6" i="2"/>
  <c r="F6" i="2"/>
  <c r="E6" i="2"/>
  <c r="D6" i="2"/>
  <c r="C6" i="2"/>
  <c r="C28" i="3" l="1"/>
  <c r="B32" i="3"/>
  <c r="C67" i="3"/>
  <c r="B35" i="3" l="1"/>
  <c r="B33" i="3"/>
  <c r="B34" i="3" s="1"/>
  <c r="B38" i="3" s="1"/>
  <c r="B19" i="4"/>
  <c r="C32" i="3"/>
  <c r="C35" i="3" s="1"/>
  <c r="C30" i="3"/>
  <c r="C29" i="3"/>
  <c r="D28" i="3"/>
  <c r="C37" i="3"/>
  <c r="C24" i="4"/>
  <c r="E67" i="3"/>
  <c r="L19" i="4" l="1"/>
  <c r="D19" i="4"/>
  <c r="F19" i="4" s="1"/>
  <c r="H19" i="4" s="1"/>
  <c r="J19" i="4" s="1"/>
  <c r="F24" i="4"/>
  <c r="B17" i="4"/>
  <c r="C33" i="3"/>
  <c r="C34" i="3" s="1"/>
  <c r="C38" i="3" s="1"/>
  <c r="C40" i="3" s="1"/>
  <c r="C31" i="3"/>
  <c r="D29" i="3"/>
  <c r="E28" i="3"/>
  <c r="D32" i="3"/>
  <c r="D35" i="3" s="1"/>
  <c r="B57" i="3"/>
  <c r="D37" i="3"/>
  <c r="D30" i="3"/>
  <c r="E37" i="3" l="1"/>
  <c r="E29" i="3"/>
  <c r="E32" i="3"/>
  <c r="E35" i="3" s="1"/>
  <c r="E30" i="3"/>
  <c r="F28" i="3"/>
  <c r="L17" i="4"/>
  <c r="D17" i="4"/>
  <c r="F17" i="4" s="1"/>
  <c r="H17" i="4" s="1"/>
  <c r="J17" i="4" s="1"/>
  <c r="B58" i="3"/>
  <c r="B68" i="3" s="1"/>
  <c r="C68" i="3" s="1"/>
  <c r="D33" i="3"/>
  <c r="D34" i="3" s="1"/>
  <c r="D38" i="3" s="1"/>
  <c r="D40" i="3" s="1"/>
  <c r="D31" i="3"/>
  <c r="F37" i="3" l="1"/>
  <c r="F32" i="3"/>
  <c r="F35" i="3" s="1"/>
  <c r="F30" i="3"/>
  <c r="F29" i="3"/>
  <c r="G28" i="3"/>
  <c r="C25" i="4"/>
  <c r="E68" i="3"/>
  <c r="C70" i="3" s="1"/>
  <c r="C72" i="3" s="1"/>
  <c r="E33" i="3"/>
  <c r="E34" i="3" s="1"/>
  <c r="E38" i="3" s="1"/>
  <c r="E40" i="3" s="1"/>
  <c r="E31" i="3"/>
  <c r="F33" i="3" l="1"/>
  <c r="F34" i="3" s="1"/>
  <c r="F38" i="3" s="1"/>
  <c r="F40" i="3" s="1"/>
  <c r="F31" i="3"/>
  <c r="F25" i="4"/>
  <c r="C27" i="4"/>
  <c r="C29" i="4" s="1"/>
  <c r="G32" i="3"/>
  <c r="G35" i="3" s="1"/>
  <c r="G30" i="3"/>
  <c r="G29" i="3"/>
  <c r="G37" i="3"/>
  <c r="G33" i="3" l="1"/>
  <c r="G34" i="3" s="1"/>
  <c r="G38" i="3" s="1"/>
  <c r="G31" i="3"/>
  <c r="G40" i="3" l="1"/>
  <c r="B43" i="3" s="1"/>
  <c r="H38" i="3"/>
  <c r="H40" i="3" s="1"/>
  <c r="B44" i="3" s="1"/>
  <c r="B45" i="3" l="1"/>
  <c r="B47" i="3" s="1"/>
  <c r="B49" i="3" s="1"/>
  <c r="C23" i="4" l="1"/>
  <c r="B51" i="3"/>
</calcChain>
</file>

<file path=xl/sharedStrings.xml><?xml version="1.0" encoding="utf-8"?>
<sst xmlns="http://schemas.openxmlformats.org/spreadsheetml/2006/main" count="548" uniqueCount="393">
  <si>
    <t>TD POWER SYSTEMS LTD (NSE: TDPOWERSYS)</t>
  </si>
  <si>
    <t>Equity Research Report | Initiating Coverage | BUY</t>
  </si>
  <si>
    <t>Sector: Heavy Electrical Equipment | Industry: Capital Goods | February 2026</t>
  </si>
  <si>
    <t>Metric</t>
  </si>
  <si>
    <t>Value</t>
  </si>
  <si>
    <t>CMP (INR)</t>
  </si>
  <si>
    <t>52W High / Low</t>
  </si>
  <si>
    <t>850 / 293</t>
  </si>
  <si>
    <t>Target Price (INR)</t>
  </si>
  <si>
    <t>Market Cap (INR Cr)</t>
  </si>
  <si>
    <t>Upside / Downside</t>
  </si>
  <si>
    <t>EV (INR Cr)</t>
  </si>
  <si>
    <t>Rating</t>
  </si>
  <si>
    <t>ACCUMULATE</t>
  </si>
  <si>
    <t>Shares Outstanding (Cr)</t>
  </si>
  <si>
    <t>FY25 Revenue (INR Cr)</t>
  </si>
  <si>
    <t>Free Float (%)</t>
  </si>
  <si>
    <t>73.1%</t>
  </si>
  <si>
    <t>FY25 EBITDA (INR Cr)</t>
  </si>
  <si>
    <t>ROCE (%)</t>
  </si>
  <si>
    <t>FY25 PAT (INR Cr)</t>
  </si>
  <si>
    <t>ROE (%)</t>
  </si>
  <si>
    <t>22.3%</t>
  </si>
  <si>
    <t>FY25 EPS (INR)</t>
  </si>
  <si>
    <t>P/E (TTM)</t>
  </si>
  <si>
    <t>FY25 EBITDA Margin</t>
  </si>
  <si>
    <t>18.4%</t>
  </si>
  <si>
    <t>EV/EBITDA (TTM)</t>
  </si>
  <si>
    <t>Revenue CAGR (FY22-25)</t>
  </si>
  <si>
    <t>17.1%</t>
  </si>
  <si>
    <t>Dividend Yield (%)</t>
  </si>
  <si>
    <t>0.18%</t>
  </si>
  <si>
    <t>PAT CAGR (FY22-25)</t>
  </si>
  <si>
    <t>36.0%</t>
  </si>
  <si>
    <t>Book Value/Share</t>
  </si>
  <si>
    <t>Order Book (INR Cr)</t>
  </si>
  <si>
    <t>Export % of Orders (Q3FY26)</t>
  </si>
  <si>
    <t>84%</t>
  </si>
  <si>
    <t>INVESTMENT THESIS</t>
  </si>
  <si>
    <t>1. Export-led growth: 84% of Q3FY26 orders from exports; management guides export &gt; domestic in FY27/28</t>
  </si>
  <si>
    <t>2. New plant ramp-up: Tumkuru Plant 3 commissioned; revenue ramp from Q4FY26 to significantly expand capacity</t>
  </si>
  <si>
    <t>3. Diversification: Traction motors (5-yr EUR contract ₹300 Cr), nuclear orders, data center generators</t>
  </si>
  <si>
    <t>4. Margin expansion: EBITDA margins improved from 12% (FY22) to 18%+ (FY25); mix shift to exports &amp; large units</t>
  </si>
  <si>
    <t>5. Global installed base: 6,500+ units across 105 countries; aftermarket / spares growing as recurring revenue</t>
  </si>
  <si>
    <t>6. Strong order book: ₹1,845 Cr order book (Dec'25) = ~1.4x FY25 revenue; strong visibility into FY26/27</t>
  </si>
  <si>
    <t>Key Risk: Promoter holding reduced -31.7% over 3 yrs; customer concentration; commodity cost volatility</t>
  </si>
  <si>
    <t>TD POWER SYSTEMS | HISTORICAL FINANCIAL SUMMARY (INR Crores)</t>
  </si>
  <si>
    <t>Income Statement</t>
  </si>
  <si>
    <t>FY19</t>
  </si>
  <si>
    <t>FY20</t>
  </si>
  <si>
    <t>FY21</t>
  </si>
  <si>
    <t>FY22</t>
  </si>
  <si>
    <t>FY23</t>
  </si>
  <si>
    <t>FY24</t>
  </si>
  <si>
    <t>FY25</t>
  </si>
  <si>
    <t>TTM</t>
  </si>
  <si>
    <t>Revenue</t>
  </si>
  <si>
    <t>YoY Growth</t>
  </si>
  <si>
    <t>-</t>
  </si>
  <si>
    <t>Gross Profit</t>
  </si>
  <si>
    <t>Gross Margin</t>
  </si>
  <si>
    <t>EBITDA</t>
  </si>
  <si>
    <t>EBITDA Margin</t>
  </si>
  <si>
    <t>Depreciation</t>
  </si>
  <si>
    <t>EBIT</t>
  </si>
  <si>
    <t>Interest</t>
  </si>
  <si>
    <t>PBT</t>
  </si>
  <si>
    <t>Tax</t>
  </si>
  <si>
    <t>Net Profit</t>
  </si>
  <si>
    <t>Net Margin</t>
  </si>
  <si>
    <t>EPS (INR)</t>
  </si>
  <si>
    <t xml:space="preserve">  BALANCE SHEET SUMMARY</t>
  </si>
  <si>
    <t>Balance Sheet</t>
  </si>
  <si>
    <t>Equity Capital</t>
  </si>
  <si>
    <t>Reserves</t>
  </si>
  <si>
    <t>Total Equity</t>
  </si>
  <si>
    <t>Borrowings</t>
  </si>
  <si>
    <t>Trade Payables</t>
  </si>
  <si>
    <t>Total Assets</t>
  </si>
  <si>
    <t>Cash &amp; Equivalents</t>
  </si>
  <si>
    <t>Net Debt</t>
  </si>
  <si>
    <t>Working Capital</t>
  </si>
  <si>
    <t xml:space="preserve">  CASH FLOW SUMMARY</t>
  </si>
  <si>
    <t>Cash Flow</t>
  </si>
  <si>
    <t>CFO</t>
  </si>
  <si>
    <t>Capex</t>
  </si>
  <si>
    <t>FCFF</t>
  </si>
  <si>
    <t>CFI</t>
  </si>
  <si>
    <t>CFF</t>
  </si>
  <si>
    <t>Net Cash Change</t>
  </si>
  <si>
    <t>TD POWER SYSTEMS | DISCOUNTED CASH FLOW VALUATION</t>
  </si>
  <si>
    <t>METHODOLOGY: TDPS is a high-growth company. Two approaches used: (1) DCF for fundamental intrinsic value floor; (2) Forward P/E &amp; EV/EBITDA on FY27E estimates for 12-month target price. Both outputs are shown and cross-referenced.</t>
  </si>
  <si>
    <t xml:space="preserve">  PART 1 — KEY DCF ASSUMPTIONS  (Blue = Input, Yellow = Change to run scenarios)</t>
  </si>
  <si>
    <t>Assumption</t>
  </si>
  <si>
    <t>Note / Source</t>
  </si>
  <si>
    <t>Base Year Revenue FY25A (INR Cr)</t>
  </si>
  <si>
    <t>◄ Input</t>
  </si>
  <si>
    <t>Actuals — Company Q3FY26 Results presentation</t>
  </si>
  <si>
    <t>Revenue Growth — FY26E</t>
  </si>
  <si>
    <t>Conservative end of mgmt guide; backed by ₹1,845 Cr order book (1.4x FY25 rev)</t>
  </si>
  <si>
    <t>Revenue Growth — FY27E</t>
  </si>
  <si>
    <t>Export ramp + Plant 3 (Tumkuru) operating at full run-rate</t>
  </si>
  <si>
    <t>Revenue Growth — FY28E</t>
  </si>
  <si>
    <t>Normalization phase; slower export growth</t>
  </si>
  <si>
    <t>Revenue Growth — FY29E</t>
  </si>
  <si>
    <t>Approaching steady-state</t>
  </si>
  <si>
    <t>Revenue Growth — FY30E</t>
  </si>
  <si>
    <t>Mature growth phase</t>
  </si>
  <si>
    <t>EBITDA Margin — FY26E</t>
  </si>
  <si>
    <t>Marginal expansion; operating leverage vs. higher export logistics costs</t>
  </si>
  <si>
    <t>EBITDA Margin — FY27E</t>
  </si>
  <si>
    <t>Scale benefits from Plant 3 + better product mix</t>
  </si>
  <si>
    <t>EBITDA Margin — FY28-30E</t>
  </si>
  <si>
    <t>Target steady-state; premium products + export dominance</t>
  </si>
  <si>
    <t>D&amp;A as % of Revenue</t>
  </si>
  <si>
    <t>Asset-light ETO model; consistent with FY25 run-rate</t>
  </si>
  <si>
    <t>Capex % Revenue (FY26-27E)</t>
  </si>
  <si>
    <t>3% normalized capex; Plant 3 commissioned FY26 — elevated phase now complete</t>
  </si>
  <si>
    <t>Change in WC as % of Revenue</t>
  </si>
  <si>
    <t>Effective Tax Rate</t>
  </si>
  <si>
    <t>Stable; company completed MAT credit utilization</t>
  </si>
  <si>
    <t>WACC</t>
  </si>
  <si>
    <t>10.5% — quality growth premium; Ke=12.5% CAPM + analyst override for net-cash compounder</t>
  </si>
  <si>
    <t>Terminal Growth Rate</t>
  </si>
  <si>
    <t>5% = India nominal GDP growth; conservative for an exporter</t>
  </si>
  <si>
    <t>Net Cash Position FY25A (INR Cr)</t>
  </si>
  <si>
    <t>As per latest NSE filings</t>
  </si>
  <si>
    <t>Current Market Price — CMP (INR)</t>
  </si>
  <si>
    <t>NSE closing price, Feb 26, 2026</t>
  </si>
  <si>
    <t xml:space="preserve">  PART 2 — 5-YEAR FCFF PROJECTION (INR Crores)  |  Blue=Hardcoded Actuals  Black=Formulas  Green=Cross-sheet Links</t>
  </si>
  <si>
    <t>Line Item</t>
  </si>
  <si>
    <t>FY25A</t>
  </si>
  <si>
    <t>FY26E</t>
  </si>
  <si>
    <t>FY27E</t>
  </si>
  <si>
    <t>FY28E</t>
  </si>
  <si>
    <t>FY29E</t>
  </si>
  <si>
    <t>FY30E</t>
  </si>
  <si>
    <t>Terminal Value</t>
  </si>
  <si>
    <t>YoY Revenue Growth</t>
  </si>
  <si>
    <t>EBITDA Margin (%)</t>
  </si>
  <si>
    <t>(-) Depreciation &amp; Amortization</t>
  </si>
  <si>
    <t>EBIT (Operating Profit after D&amp;A)</t>
  </si>
  <si>
    <t>NOPAT = EBIT × (1 − Tax Rate)</t>
  </si>
  <si>
    <t>(+) Add Back: Depreciation &amp; Amortization</t>
  </si>
  <si>
    <t>(-) Increase in Working Capital</t>
  </si>
  <si>
    <t>FREE CASH FLOW TO FIRM (FCFF)</t>
  </si>
  <si>
    <t>Discount Factor  [1/(1+WACC)^t]</t>
  </si>
  <si>
    <t>1.000x</t>
  </si>
  <si>
    <t>Present Value of FCFF</t>
  </si>
  <si>
    <t xml:space="preserve">  PART 3 — DCF VALUATION BRIDGE (INR Crores)</t>
  </si>
  <si>
    <t>Sum of PV(FCFF) — Explicit Period (FY26E–FY30E)</t>
  </si>
  <si>
    <t>PV of Terminal Value (Gordon Growth Model)</t>
  </si>
  <si>
    <t>Enterprise Value (EV = Sum PV_FCFF + PV_TV)</t>
  </si>
  <si>
    <t>(+) Net Cash Position  [Cash minus Borrowings]</t>
  </si>
  <si>
    <t>Equity Value  [EV + Net Cash]</t>
  </si>
  <si>
    <t>Shares Outstanding (Crores)</t>
  </si>
  <si>
    <t>DCF Intrinsic Value Per Share (INR)</t>
  </si>
  <si>
    <t>Market Premium over DCF Value</t>
  </si>
  <si>
    <t>NOTE: TDPS trades at a premium to DCF intrinsic value because the market prices in 10+ years of growth. DCF value (₹170) = fundamental floor. Target price uses forward multiples (see Part 4).</t>
  </si>
  <si>
    <t xml:space="preserve">  PART 4 — FORWARD MULTIPLES: 12-MONTH TARGET PRICE  (Primary Valuation Method for High-Growth Companies)</t>
  </si>
  <si>
    <t>For TDPS — a high-growth, re-rating capital goods exporter — the market-anchored target price is derived from FY27E forward multiples, calibrated to the peer group premium.</t>
  </si>
  <si>
    <t>FY27E Estimates</t>
  </si>
  <si>
    <t>Derivation</t>
  </si>
  <si>
    <t>FY27E Revenue (INR Cr)</t>
  </si>
  <si>
    <t>Links to DCF projection row 28, column D</t>
  </si>
  <si>
    <t>FY27E EBITDA (INR Cr)</t>
  </si>
  <si>
    <t>Links to DCF projection row 30, column D</t>
  </si>
  <si>
    <t>FY27E PAT (INR Cr)</t>
  </si>
  <si>
    <t>FY27E EPS (INR)</t>
  </si>
  <si>
    <t>Target Multiple</t>
  </si>
  <si>
    <t>Justification</t>
  </si>
  <si>
    <t>Target P/E (FY27E basis)</t>
  </si>
  <si>
    <t>Peer median P/E 42x + 30% TDPS premium (superior growth: PAT CAGR 25%+, net cash, export expansion)</t>
  </si>
  <si>
    <t>Target EV/EBITDA (FY27E basis)</t>
  </si>
  <si>
    <t>Peer median EV/EBITDA 28x + 43% TDPS premium (margin expansion trajectory, balance sheet quality)</t>
  </si>
  <si>
    <t>Peer median 23.9x + 67% TDPS premium (25%+ EPS CAGR, net cash, export moat, margin expansion)</t>
  </si>
  <si>
    <t>Methodology</t>
  </si>
  <si>
    <t>Implied Eq. Value (Cr)</t>
  </si>
  <si>
    <t>Implied Price (INR)</t>
  </si>
  <si>
    <t>Weight (%)</t>
  </si>
  <si>
    <t>Wtd. Contribution</t>
  </si>
  <si>
    <t>P/E Based Target Price</t>
  </si>
  <si>
    <t>EV/EBITDA Based Target Price</t>
  </si>
  <si>
    <t>BLENDED 12-MONTH TARGET PRICE (INR)</t>
  </si>
  <si>
    <t>Upside / (Downside) to 12-Month Target</t>
  </si>
  <si>
    <t xml:space="preserve">  PART 5 — WACC DERIVATION</t>
  </si>
  <si>
    <t>Risk-Free Rate (Rf)</t>
  </si>
  <si>
    <t>10-year India G-Sec yield (Feb 2026)</t>
  </si>
  <si>
    <t>Equity Risk Premium (ERP)</t>
  </si>
  <si>
    <t>India = Base ERP ~6% + Country Risk Premium ~2%</t>
  </si>
  <si>
    <t>Beta (β)</t>
  </si>
  <si>
    <t>TDPS weekly raw beta vs. Nifty 500 (2-yr)</t>
  </si>
  <si>
    <t>Cost of Equity (Ke = Rf + β × ERP)</t>
  </si>
  <si>
    <t>CAPM; links to inputs above</t>
  </si>
  <si>
    <t>Pre-Tax Cost of Debt (Kd)</t>
  </si>
  <si>
    <t>Bank WC rate; company nearly debt-free</t>
  </si>
  <si>
    <t>After-Tax Cost of Debt = Kd×(1−Tax)</t>
  </si>
  <si>
    <t>Tax rate links to row 19</t>
  </si>
  <si>
    <t>Debt Weight (D/V)</t>
  </si>
  <si>
    <t>Borrowings/(Equity+Debt)</t>
  </si>
  <si>
    <t>Equity Weight (E/V = 1 − D/V)</t>
  </si>
  <si>
    <t>WACC = Ke×E/V + Kd×(1-t)×D/V</t>
  </si>
  <si>
    <t>Should ≈ row 20 assumption</t>
  </si>
  <si>
    <t>Verification: WACC matches assumption?</t>
  </si>
  <si>
    <t>NOTE</t>
  </si>
  <si>
    <t>WACC=13.8% from CAPM; analyst override to 10.5% for quality premium (net-cash, FCF compounder, export moat). Sensitivity table covers 9%-14%.</t>
  </si>
  <si>
    <t xml:space="preserve">  PART 6A — TARGET PRICE SENSITIVITY: P/E Multiple (rows) × FY27E EPS (cols)  |  Green = above CMP ₹883</t>
  </si>
  <si>
    <t>P/E \ EPS →</t>
  </si>
  <si>
    <t>₹13.00</t>
  </si>
  <si>
    <t>₹15.00</t>
  </si>
  <si>
    <t>₹19.00</t>
  </si>
  <si>
    <t>₹21.00</t>
  </si>
  <si>
    <t>₹23.00</t>
  </si>
  <si>
    <t>EV/EBITDA \ EBITDA →</t>
  </si>
  <si>
    <t>28x</t>
  </si>
  <si>
    <t>TD POWER SYSTEMS | COMPARABLE COMPANY ANALYSIS (COMPS)</t>
  </si>
  <si>
    <t>Company</t>
  </si>
  <si>
    <t>Mkt Cap
(Cr)</t>
  </si>
  <si>
    <t>FY26E Rev
(Cr)</t>
  </si>
  <si>
    <t>FY26E EBITDA
(Cr)</t>
  </si>
  <si>
    <t>FY26E PAT
(Cr)</t>
  </si>
  <si>
    <t>FY26E P/E
(x)</t>
  </si>
  <si>
    <t>FY26E EV/
EBITDA (x)</t>
  </si>
  <si>
    <t>P/B
(x)</t>
  </si>
  <si>
    <t>EV/
Rev (x)</t>
  </si>
  <si>
    <t>EBITDA
Mgn %</t>
  </si>
  <si>
    <t>ROE %</t>
  </si>
  <si>
    <t>ROCE %</t>
  </si>
  <si>
    <t>TD Power Systems</t>
  </si>
  <si>
    <t>Bharat Heavy Elec.</t>
  </si>
  <si>
    <t>CG Power &amp; Ind Sol.</t>
  </si>
  <si>
    <t>Hitachi Energy India</t>
  </si>
  <si>
    <t>ABB India</t>
  </si>
  <si>
    <t>Siemens India</t>
  </si>
  <si>
    <t>Triveni Turbine</t>
  </si>
  <si>
    <t>Kirloskar Electric</t>
  </si>
  <si>
    <t>Peer Median (ex-TDPS)</t>
  </si>
  <si>
    <t>Peer Average (ex-TDPS)</t>
  </si>
  <si>
    <t xml:space="preserve">  PART 2 — IMPLIED VALUATION: TDPS at Peer Median Multiples vs Our Target Multiples (FY26E)</t>
  </si>
  <si>
    <t>Basis</t>
  </si>
  <si>
    <t>TDPS
FY26E</t>
  </si>
  <si>
    <t>Peer Median
Multiple</t>
  </si>
  <si>
    <t>Implied EV
(Cr)</t>
  </si>
  <si>
    <t>Net Cash
(Cr)</t>
  </si>
  <si>
    <t>Implied Eq.
Value (Cr)</t>
  </si>
  <si>
    <t>Shares
(Cr)</t>
  </si>
  <si>
    <t>Implied
Price @Peer</t>
  </si>
  <si>
    <t>CMP</t>
  </si>
  <si>
    <t>(Disc.)/
Upside</t>
  </si>
  <si>
    <t>Target
Multiple</t>
  </si>
  <si>
    <t>Target
Price</t>
  </si>
  <si>
    <t>EV/EBITDA (FY26E)</t>
  </si>
  <si>
    <t>P/E (FY26E)</t>
  </si>
  <si>
    <t>N/A (equity)</t>
  </si>
  <si>
    <t>—</t>
  </si>
  <si>
    <t>EV/Revenue (FY26E)</t>
  </si>
  <si>
    <t xml:space="preserve">  PART 3 — FOOTBALL FIELD: CONSOLIDATED VALUATION SUMMARY</t>
  </si>
  <si>
    <t>Low (INR)</t>
  </si>
  <si>
    <t>Base / Target
(INR)</t>
  </si>
  <si>
    <t>High (INR)</t>
  </si>
  <si>
    <t>Weight</t>
  </si>
  <si>
    <t>Wtd. Contrib.</t>
  </si>
  <si>
    <t>Key Basis / Comment</t>
  </si>
  <si>
    <t>DCF (Fundamental Floor)</t>
  </si>
  <si>
    <t>N/A</t>
  </si>
  <si>
    <t>Forward P/E (FY27E)</t>
  </si>
  <si>
    <t>55x × FY27E EPS ₹17.44; links directly to DCF sheet Part 4 (cell C67)</t>
  </si>
  <si>
    <t>Forward EV/EBITDA (FY27E)</t>
  </si>
  <si>
    <t>40x × FY27E EBITDA ₹371Cr; links directly to DCF sheet Part 4 (cell C68)</t>
  </si>
  <si>
    <t>BLENDED TARGET PRICE — 50% P/E + 50% EV/EBITDA</t>
  </si>
  <si>
    <t>Upside / (Downside) to Target</t>
  </si>
  <si>
    <t>INTERPRETATION</t>
  </si>
  <si>
    <t>✓ CROSS-CHECK: Target price in this sheet (C27) = Target price in DCF sheet (C70) — both link to the same underlying FY27E estimates in rows 57-64 of DCF sheet. Change any blue input cell to run scenarios.</t>
  </si>
  <si>
    <t>TD POWER SYSTEMS | SCENARIO ANALYSIS</t>
  </si>
  <si>
    <t>Metric / Assumption</t>
  </si>
  <si>
    <t>Bear Case</t>
  </si>
  <si>
    <t>Base Case</t>
  </si>
  <si>
    <t>Bull Case</t>
  </si>
  <si>
    <t>Commentary</t>
  </si>
  <si>
    <t>Revenue CAGR FY25-30E</t>
  </si>
  <si>
    <t>12%</t>
  </si>
  <si>
    <t>18%</t>
  </si>
  <si>
    <t>25%</t>
  </si>
  <si>
    <t>Bull: Full Plant 3 ramp + export surge</t>
  </si>
  <si>
    <t>FY30E Revenue (INR Cr)</t>
  </si>
  <si>
    <t>2,250</t>
  </si>
  <si>
    <t>2,920</t>
  </si>
  <si>
    <t>3,850</t>
  </si>
  <si>
    <t>Bear: Demand softness + FX headwind</t>
  </si>
  <si>
    <t>EBITDA Margin (FY30E)</t>
  </si>
  <si>
    <t>16%</t>
  </si>
  <si>
    <t>20%</t>
  </si>
  <si>
    <t>22%</t>
  </si>
  <si>
    <t>Bull: Premium mix, large units, exports</t>
  </si>
  <si>
    <t>FY30E EBITDA (INR Cr)</t>
  </si>
  <si>
    <t>360</t>
  </si>
  <si>
    <t>584</t>
  </si>
  <si>
    <t>847</t>
  </si>
  <si>
    <t>3.5%</t>
  </si>
  <si>
    <t>5.0%</t>
  </si>
  <si>
    <t>6.5%</t>
  </si>
  <si>
    <t>India nominal GDP-linked</t>
  </si>
  <si>
    <t>13%</t>
  </si>
  <si>
    <t>11%</t>
  </si>
  <si>
    <t>Bull: rating upgrade, lower risk</t>
  </si>
  <si>
    <t>Intrinsic Value/Share</t>
  </si>
  <si>
    <t>620</t>
  </si>
  <si>
    <t>₹960 (Forward P/E primary)</t>
  </si>
  <si>
    <t>Wide range reflects growth optionality</t>
  </si>
  <si>
    <t>EV/EBITDA (Exit Mult.)</t>
  </si>
  <si>
    <t>20x</t>
  </si>
  <si>
    <t>38x</t>
  </si>
  <si>
    <t>Comps range 20-50x for quality capex</t>
  </si>
  <si>
    <t>Target P/E (FY27E)</t>
  </si>
  <si>
    <t>Bull: rerating on export dominance</t>
  </si>
  <si>
    <t>22</t>
  </si>
  <si>
    <t>Estimates</t>
  </si>
  <si>
    <t>P/E Implied Price</t>
  </si>
  <si>
    <t>Probability Weight</t>
  </si>
  <si>
    <t>55%</t>
  </si>
  <si>
    <t>Analyst's scenario probability</t>
  </si>
  <si>
    <t>Wtd. Target Price</t>
  </si>
  <si>
    <t>TD POWER SYSTEMS | KEY FINANCIAL RATIOS &amp; KPIs</t>
  </si>
  <si>
    <t>Ratio</t>
  </si>
  <si>
    <t>Trend</t>
  </si>
  <si>
    <t xml:space="preserve">  PROFITABILITY</t>
  </si>
  <si>
    <t>Revenue (INR Cr)</t>
  </si>
  <si>
    <t>↑</t>
  </si>
  <si>
    <t>EBITDA (INR Cr)</t>
  </si>
  <si>
    <t>7.4%</t>
  </si>
  <si>
    <t>12.0%</t>
  </si>
  <si>
    <t>12.2%</t>
  </si>
  <si>
    <t>15.4%</t>
  </si>
  <si>
    <t>↑↑</t>
  </si>
  <si>
    <t>PAT (INR Cr)</t>
  </si>
  <si>
    <t>PAT Margin</t>
  </si>
  <si>
    <t>0.7%</t>
  </si>
  <si>
    <t>5.8%</t>
  </si>
  <si>
    <t>7.6%</t>
  </si>
  <si>
    <t>8.8%</t>
  </si>
  <si>
    <t>11.1%</t>
  </si>
  <si>
    <t>11.8%</t>
  </si>
  <si>
    <t>13.7%</t>
  </si>
  <si>
    <t>4.1%</t>
  </si>
  <si>
    <t>11.2%</t>
  </si>
  <si>
    <t>16.2%</t>
  </si>
  <si>
    <t>22.5%</t>
  </si>
  <si>
    <t>26.8%</t>
  </si>
  <si>
    <t>11.0%</t>
  </si>
  <si>
    <t>15.0%</t>
  </si>
  <si>
    <t>18.7%</t>
  </si>
  <si>
    <t>19.4%</t>
  </si>
  <si>
    <t xml:space="preserve">  EFFICIENCY</t>
  </si>
  <si>
    <t>Asset Turnover (x)</t>
  </si>
  <si>
    <t>→</t>
  </si>
  <si>
    <t>Inventory Days</t>
  </si>
  <si>
    <t>↓</t>
  </si>
  <si>
    <t>Receivable Days</t>
  </si>
  <si>
    <t>Payable Days</t>
  </si>
  <si>
    <t>Cash Conversion Cycle</t>
  </si>
  <si>
    <t>Capex/Revenue (%)</t>
  </si>
  <si>
    <t xml:space="preserve">  LEVERAGE &amp; LIQUIDITY</t>
  </si>
  <si>
    <t>Net Debt (INR Cr)</t>
  </si>
  <si>
    <t>Net D/EBITDA (x)</t>
  </si>
  <si>
    <t>Interest Coverage</t>
  </si>
  <si>
    <t>5x</t>
  </si>
  <si>
    <t>3.8x</t>
  </si>
  <si>
    <t>7.9x</t>
  </si>
  <si>
    <t>13.9x</t>
  </si>
  <si>
    <t>33.5x</t>
  </si>
  <si>
    <t>42.8x</t>
  </si>
  <si>
    <t>29.4x</t>
  </si>
  <si>
    <t>Current Ratio</t>
  </si>
  <si>
    <t>Quick Ratio</t>
  </si>
  <si>
    <t xml:space="preserve">  VALUATION MULTIPLES</t>
  </si>
  <si>
    <t>P/E (x)</t>
  </si>
  <si>
    <t>EV/EBITDA (x)</t>
  </si>
  <si>
    <t>P/B (x)</t>
  </si>
  <si>
    <t>EV/Revenue (x)</t>
  </si>
  <si>
    <t>0.4%</t>
  </si>
  <si>
    <t>0.3%</t>
  </si>
  <si>
    <t>Material &amp; Manufacturing Cost</t>
  </si>
  <si>
    <t>FY26E*</t>
  </si>
  <si>
    <t>Cash ₹280 Cr − Borrowings ₹12 Cr = Net Cash (positive number)</t>
  </si>
  <si>
    <t>conservative estimate due to expansion</t>
  </si>
  <si>
    <t>(-) Capital Expenditure</t>
  </si>
  <si>
    <t>Est.: FY27E EBIT×0.75</t>
  </si>
  <si>
    <t>ROCE</t>
  </si>
  <si>
    <t xml:space="preserve">  PART 6B — TARGET PRICE SENSITIVITY: EV/EBITDA Multiple (rows) × FY27E EBITDA (cols, INR Cr)  |  Net Cash=₹268Cr, Shares=15.6 Cr</t>
  </si>
  <si>
    <t>10-yr FCFF model @ WACC=10.5%, TGR=6%; fundamental floor — stock trades at ~4x intrinsic (growth premium)</t>
  </si>
  <si>
    <t>DCF intrinsic (₹180-250) represents the FLOOR value. TDPS trades at ~4x intrinsic because the market is pricing in 10-15 years of strong growth, re-rating as an export compounder. Forward multiple valuation (₹933) is the RELEVANT 12-month target — it anchors to market-derived multiples on FY27E earnings. The premium to peer median (P/E 58%, EV/EBITDA 92%) is justified by superior EPS CAGR (25%+), net cash balance sheet, and structural export expansion.</t>
  </si>
  <si>
    <t>₹180-250 (DCF floor)</t>
  </si>
  <si>
    <t>our target price = 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</si>
</sst>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;\(#,##0\);\-"/>
    <numFmt numFmtId="165" formatCode="0.0%;\(0.0%\);\-"/>
    <numFmt numFmtId="166" formatCode="0.00;\(0.00\);\-"/>
    <numFmt numFmtId="167" formatCode="0.000\x"/>
    <numFmt numFmtId="168" formatCode="0.0\x;\(0.0&quot;x)&quot;;\-"/>
    <numFmt numFmtId="169" formatCode="0\x"/>
    <numFmt numFmtId="170" formatCode="0.0\x"/>
    <numFmt numFmtId="171" formatCode="0.0"/>
    <numFmt numFmtId="172" formatCode="&quot;₹&quot;\ #,##0"/>
  </numFmts>
  <fonts count="3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b/>
      <sz val="9"/>
      <color rgb="FF1F5C1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color rgb="FFCC0000"/>
      <name val="Arial"/>
      <charset val="1"/>
    </font>
    <font>
      <b/>
      <sz val="9"/>
      <color rgb="FF0000FF"/>
      <name val="Arial"/>
      <charset val="1"/>
    </font>
    <font>
      <b/>
      <sz val="9"/>
      <color rgb="FF000000"/>
      <name val="Arial"/>
      <charset val="1"/>
    </font>
    <font>
      <i/>
      <sz val="9"/>
      <color rgb="FF555555"/>
      <name val="Arial"/>
      <charset val="1"/>
    </font>
    <font>
      <i/>
      <sz val="8"/>
      <color rgb="FF888888"/>
      <name val="Arial"/>
      <charset val="1"/>
    </font>
    <font>
      <i/>
      <sz val="8"/>
      <name val="Arial"/>
      <charset val="1"/>
    </font>
    <font>
      <b/>
      <sz val="9"/>
      <color rgb="FF006400"/>
      <name val="Arial"/>
      <charset val="1"/>
    </font>
    <font>
      <b/>
      <sz val="10"/>
      <color rgb="FF006400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006400"/>
      <name val="Arial"/>
      <charset val="1"/>
    </font>
    <font>
      <sz val="9"/>
      <color rgb="FF006400"/>
      <name val="Arial"/>
      <charset val="1"/>
    </font>
    <font>
      <i/>
      <sz val="8"/>
      <color rgb="FF666666"/>
      <name val="Arial"/>
      <charset val="1"/>
    </font>
    <font>
      <b/>
      <sz val="8"/>
      <color rgb="FFFFFFFF"/>
      <name val="Arial"/>
      <charset val="1"/>
    </font>
    <font>
      <b/>
      <i/>
      <sz val="9"/>
      <name val="Arial"/>
      <charset val="1"/>
    </font>
    <font>
      <b/>
      <i/>
      <sz val="9"/>
      <color rgb="FF000000"/>
      <name val="Arial"/>
      <charset val="1"/>
    </font>
    <font>
      <sz val="9"/>
      <color rgb="FF777777"/>
      <name val="Arial"/>
      <charset val="1"/>
    </font>
    <font>
      <i/>
      <sz val="8"/>
      <color rgb="FF555555"/>
      <name val="Arial"/>
      <charset val="1"/>
    </font>
    <font>
      <b/>
      <sz val="9"/>
      <color rgb="FF1F3864"/>
      <name val="Arial"/>
      <charset val="1"/>
    </font>
    <font>
      <i/>
      <sz val="9"/>
      <color rgb="FF006400"/>
      <name val="Arial"/>
      <charset val="1"/>
    </font>
    <font>
      <sz val="9"/>
      <color rgb="FF007030"/>
      <name val="Arial"/>
      <charset val="1"/>
    </font>
    <font>
      <b/>
      <sz val="9"/>
      <color rgb="FFCC0000"/>
      <name val="Arial"/>
      <charset val="1"/>
    </font>
    <font>
      <b/>
      <sz val="9"/>
      <color rgb="FF007030"/>
      <name val="Arial"/>
      <charset val="1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EE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EF3FB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375623"/>
        <bgColor rgb="FF1F5C1F"/>
      </patternFill>
    </fill>
    <fill>
      <patternFill patternType="solid">
        <fgColor rgb="FFFFCCCC"/>
        <bgColor rgb="FFCCCCCC"/>
      </patternFill>
    </fill>
    <fill>
      <patternFill patternType="solid">
        <fgColor rgb="FFD6E4F0"/>
        <bgColor rgb="FFD9E2F3"/>
      </patternFill>
    </fill>
    <fill>
      <patternFill patternType="solid">
        <fgColor rgb="FFD9E2F3"/>
        <bgColor rgb="FFD6E4F0"/>
      </patternFill>
    </fill>
    <fill>
      <patternFill patternType="solid">
        <fgColor rgb="FFE2EFDA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/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12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5" fontId="10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13" fillId="4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/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wrapText="1"/>
    </xf>
    <xf numFmtId="164" fontId="7" fillId="8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165" fontId="7" fillId="8" borderId="1" xfId="0" applyNumberFormat="1" applyFont="1" applyFill="1" applyBorder="1" applyAlignment="1">
      <alignment horizontal="right" vertical="center"/>
    </xf>
    <xf numFmtId="166" fontId="7" fillId="8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164" fontId="17" fillId="4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164" fontId="13" fillId="9" borderId="1" xfId="0" applyNumberFormat="1" applyFont="1" applyFill="1" applyBorder="1" applyAlignment="1">
      <alignment horizontal="right" vertical="center"/>
    </xf>
    <xf numFmtId="167" fontId="10" fillId="5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166" fontId="10" fillId="5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 wrapText="1"/>
    </xf>
    <xf numFmtId="164" fontId="18" fillId="10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166" fontId="10" fillId="4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8" fontId="7" fillId="8" borderId="1" xfId="0" applyNumberFormat="1" applyFont="1" applyFill="1" applyBorder="1" applyAlignment="1">
      <alignment horizontal="right" vertical="center"/>
    </xf>
    <xf numFmtId="169" fontId="7" fillId="8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 wrapText="1"/>
    </xf>
    <xf numFmtId="164" fontId="13" fillId="5" borderId="1" xfId="0" applyNumberFormat="1" applyFont="1" applyFill="1" applyBorder="1" applyAlignment="1">
      <alignment horizontal="right" vertical="center"/>
    </xf>
    <xf numFmtId="164" fontId="19" fillId="5" borderId="1" xfId="0" applyNumberFormat="1" applyFont="1" applyFill="1" applyBorder="1" applyAlignment="1">
      <alignment horizontal="right" vertical="center"/>
    </xf>
    <xf numFmtId="164" fontId="21" fillId="11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65" fontId="22" fillId="4" borderId="1" xfId="0" applyNumberFormat="1" applyFont="1" applyFill="1" applyBorder="1" applyAlignment="1">
      <alignment horizontal="right" vertical="center"/>
    </xf>
    <xf numFmtId="164" fontId="16" fillId="5" borderId="1" xfId="0" applyNumberFormat="1" applyFont="1" applyFill="1" applyBorder="1" applyAlignment="1">
      <alignment horizontal="left" vertical="center" wrapText="1"/>
    </xf>
    <xf numFmtId="2" fontId="7" fillId="8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right" vertical="center"/>
    </xf>
    <xf numFmtId="49" fontId="23" fillId="4" borderId="1" xfId="0" applyNumberFormat="1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left" wrapText="1"/>
    </xf>
    <xf numFmtId="3" fontId="10" fillId="1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0" fontId="25" fillId="2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left" vertical="center" wrapText="1"/>
    </xf>
    <xf numFmtId="164" fontId="12" fillId="13" borderId="1" xfId="0" applyNumberFormat="1" applyFont="1" applyFill="1" applyBorder="1" applyAlignment="1">
      <alignment horizontal="right" vertical="center"/>
    </xf>
    <xf numFmtId="168" fontId="12" fillId="13" borderId="1" xfId="0" applyNumberFormat="1" applyFont="1" applyFill="1" applyBorder="1" applyAlignment="1">
      <alignment horizontal="right" vertical="center"/>
    </xf>
    <xf numFmtId="165" fontId="12" fillId="13" borderId="1" xfId="0" applyNumberFormat="1" applyFont="1" applyFill="1" applyBorder="1" applyAlignment="1">
      <alignment horizontal="right" vertical="center"/>
    </xf>
    <xf numFmtId="49" fontId="10" fillId="7" borderId="1" xfId="0" applyNumberFormat="1" applyFont="1" applyFill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right" vertical="center"/>
    </xf>
    <xf numFmtId="168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49" fontId="10" fillId="5" borderId="1" xfId="0" applyNumberFormat="1" applyFont="1" applyFill="1" applyBorder="1" applyAlignment="1">
      <alignment horizontal="left" vertical="center" wrapText="1"/>
    </xf>
    <xf numFmtId="168" fontId="7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left" vertical="center" wrapText="1"/>
    </xf>
    <xf numFmtId="164" fontId="27" fillId="14" borderId="1" xfId="0" applyNumberFormat="1" applyFont="1" applyFill="1" applyBorder="1" applyAlignment="1">
      <alignment horizontal="right" vertical="center"/>
    </xf>
    <xf numFmtId="168" fontId="27" fillId="14" borderId="1" xfId="0" applyNumberFormat="1" applyFont="1" applyFill="1" applyBorder="1" applyAlignment="1">
      <alignment horizontal="right" vertical="center"/>
    </xf>
    <xf numFmtId="165" fontId="27" fillId="14" borderId="1" xfId="0" applyNumberFormat="1" applyFont="1" applyFill="1" applyBorder="1" applyAlignment="1">
      <alignment horizontal="right" vertical="center"/>
    </xf>
    <xf numFmtId="164" fontId="23" fillId="4" borderId="1" xfId="0" applyNumberFormat="1" applyFont="1" applyFill="1" applyBorder="1" applyAlignment="1">
      <alignment horizontal="right" vertical="center"/>
    </xf>
    <xf numFmtId="168" fontId="23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164" fontId="17" fillId="9" borderId="1" xfId="0" applyNumberFormat="1" applyFont="1" applyFill="1" applyBorder="1" applyAlignment="1">
      <alignment horizontal="right" vertical="center"/>
    </xf>
    <xf numFmtId="49" fontId="6" fillId="5" borderId="1" xfId="0" applyNumberFormat="1" applyFont="1" applyFill="1" applyBorder="1" applyAlignment="1">
      <alignment horizontal="left" vertical="center" wrapText="1"/>
    </xf>
    <xf numFmtId="168" fontId="23" fillId="5" borderId="1" xfId="0" applyNumberFormat="1" applyFont="1" applyFill="1" applyBorder="1" applyAlignment="1">
      <alignment horizontal="right" vertical="center"/>
    </xf>
    <xf numFmtId="164" fontId="28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/>
    </xf>
    <xf numFmtId="170" fontId="6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right" vertical="center"/>
    </xf>
    <xf numFmtId="171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25" fillId="2" borderId="1" xfId="0" applyFont="1" applyFill="1" applyBorder="1" applyAlignment="1">
      <alignment horizontal="left" vertical="center" wrapText="1"/>
    </xf>
    <xf numFmtId="164" fontId="17" fillId="5" borderId="1" xfId="0" applyNumberFormat="1" applyFont="1" applyFill="1" applyBorder="1" applyAlignment="1">
      <alignment horizontal="right" vertical="center"/>
    </xf>
    <xf numFmtId="165" fontId="12" fillId="5" borderId="1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center" vertical="center" wrapText="1"/>
    </xf>
    <xf numFmtId="165" fontId="12" fillId="8" borderId="1" xfId="0" applyNumberFormat="1" applyFont="1" applyFill="1" applyBorder="1" applyAlignment="1">
      <alignment horizontal="right" vertical="center"/>
    </xf>
    <xf numFmtId="0" fontId="3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right" vertical="center"/>
    </xf>
    <xf numFmtId="0" fontId="32" fillId="4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0" fontId="32" fillId="5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right" vertical="center"/>
    </xf>
    <xf numFmtId="0" fontId="34" fillId="4" borderId="1" xfId="0" applyFont="1" applyFill="1" applyBorder="1" applyAlignment="1">
      <alignment horizontal="right" vertical="center"/>
    </xf>
    <xf numFmtId="0" fontId="34" fillId="5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0" fontId="33" fillId="5" borderId="1" xfId="0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3" fontId="35" fillId="12" borderId="1" xfId="0" applyNumberFormat="1" applyFont="1" applyFill="1" applyBorder="1" applyAlignment="1">
      <alignment horizontal="right" vertical="center"/>
    </xf>
    <xf numFmtId="172" fontId="4" fillId="2" borderId="1" xfId="0" applyNumberFormat="1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right" vertical="center"/>
    </xf>
    <xf numFmtId="1" fontId="35" fillId="12" borderId="1" xfId="0" applyNumberFormat="1" applyFont="1" applyFill="1" applyBorder="1" applyAlignment="1">
      <alignment horizontal="right" vertical="center"/>
    </xf>
    <xf numFmtId="1" fontId="10" fillId="9" borderId="1" xfId="0" applyNumberFormat="1" applyFont="1" applyFill="1" applyBorder="1" applyAlignment="1">
      <alignment horizontal="right" vertical="center"/>
    </xf>
    <xf numFmtId="1" fontId="10" fillId="5" borderId="1" xfId="0" applyNumberFormat="1" applyFont="1" applyFill="1" applyBorder="1" applyAlignment="1">
      <alignment horizontal="right" vertical="center"/>
    </xf>
    <xf numFmtId="1" fontId="10" fillId="4" borderId="1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left" vertical="center"/>
    </xf>
    <xf numFmtId="1" fontId="10" fillId="4" borderId="1" xfId="0" applyNumberFormat="1" applyFont="1" applyFill="1" applyBorder="1" applyAlignment="1">
      <alignment horizontal="left" vertical="center"/>
    </xf>
    <xf numFmtId="9" fontId="10" fillId="4" borderId="1" xfId="0" applyNumberFormat="1" applyFont="1" applyFill="1" applyBorder="1" applyAlignment="1">
      <alignment horizontal="right" vertical="center"/>
    </xf>
    <xf numFmtId="2" fontId="7" fillId="4" borderId="1" xfId="0" applyNumberFormat="1" applyFont="1" applyFill="1" applyBorder="1" applyAlignment="1">
      <alignment horizontal="right" vertical="center"/>
    </xf>
    <xf numFmtId="10" fontId="10" fillId="5" borderId="1" xfId="0" applyNumberFormat="1" applyFont="1" applyFill="1" applyBorder="1" applyAlignment="1">
      <alignment horizontal="right" vertical="center"/>
    </xf>
    <xf numFmtId="2" fontId="10" fillId="4" borderId="1" xfId="0" applyNumberFormat="1" applyFont="1" applyFill="1" applyBorder="1" applyAlignment="1">
      <alignment horizontal="right" vertical="center"/>
    </xf>
    <xf numFmtId="10" fontId="6" fillId="4" borderId="1" xfId="0" applyNumberFormat="1" applyFont="1" applyFill="1" applyBorder="1" applyAlignment="1">
      <alignment horizontal="right" vertical="center"/>
    </xf>
    <xf numFmtId="10" fontId="6" fillId="5" borderId="1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36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29" fillId="5" borderId="2" xfId="0" applyFont="1" applyFill="1" applyBorder="1" applyAlignment="1">
      <alignment horizontal="left" vertical="center" wrapText="1"/>
    </xf>
    <xf numFmtId="49" fontId="20" fillId="11" borderId="1" xfId="0" applyNumberFormat="1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wrapText="1"/>
    </xf>
    <xf numFmtId="0" fontId="31" fillId="15" borderId="2" xfId="0" applyFont="1" applyFill="1" applyBorder="1" applyAlignment="1">
      <alignment horizontal="left" vertical="center" wrapText="1"/>
    </xf>
    <xf numFmtId="0" fontId="25" fillId="2" borderId="2" xfId="0" applyFont="1" applyFill="1" applyBorder="1" applyAlignment="1">
      <alignment horizontal="left" vertical="center" wrapText="1"/>
    </xf>
    <xf numFmtId="0" fontId="29" fillId="4" borderId="2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35EB6D"/>
        </patternFill>
      </fill>
    </dxf>
    <dxf>
      <fill>
        <patternFill>
          <bgColor rgb="FF36EA6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703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EEF3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6E4F0"/>
      <rgbColor rgb="FFF2F2F2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66"/>
      <rgbColor rgb="FF777777"/>
      <rgbColor rgb="FF1F3864"/>
      <rgbColor rgb="FF339966"/>
      <rgbColor rgb="FF006400"/>
      <rgbColor rgb="FF1F5C1F"/>
      <rgbColor rgb="FF993300"/>
      <rgbColor rgb="FF993366"/>
      <rgbColor rgb="FF55555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5EB6D"/>
      <color rgb="FF36EA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tabSelected="1" topLeftCell="A7" zoomScaleNormal="100" workbookViewId="0">
      <selection activeCell="K12" sqref="K12"/>
    </sheetView>
  </sheetViews>
  <sheetFormatPr defaultColWidth="8.6640625" defaultRowHeight="14.4" x14ac:dyDescent="0.3"/>
  <cols>
    <col min="1" max="1" width="30" style="1" customWidth="1"/>
    <col min="2" max="2" width="20" style="1" customWidth="1"/>
    <col min="3" max="6" width="15" style="1" customWidth="1"/>
  </cols>
  <sheetData>
    <row r="1" spans="1:6" ht="39.75" customHeight="1" x14ac:dyDescent="0.3">
      <c r="A1" s="147" t="s">
        <v>0</v>
      </c>
      <c r="B1" s="147"/>
      <c r="C1" s="147"/>
      <c r="D1" s="147"/>
      <c r="E1" s="147"/>
      <c r="F1" s="147"/>
    </row>
    <row r="2" spans="1:6" ht="24.75" customHeight="1" x14ac:dyDescent="0.3">
      <c r="A2" s="148" t="s">
        <v>1</v>
      </c>
      <c r="B2" s="148"/>
      <c r="C2" s="148"/>
      <c r="D2" s="148"/>
      <c r="E2" s="148"/>
      <c r="F2" s="148"/>
    </row>
    <row r="3" spans="1:6" ht="19.5" customHeight="1" x14ac:dyDescent="0.3">
      <c r="A3" s="149" t="s">
        <v>2</v>
      </c>
      <c r="B3" s="149"/>
      <c r="C3" s="149"/>
      <c r="D3" s="149"/>
      <c r="E3" s="149"/>
      <c r="F3" s="149"/>
    </row>
    <row r="4" spans="1:6" ht="7.5" customHeight="1" x14ac:dyDescent="0.3"/>
    <row r="5" spans="1:6" ht="15" customHeight="1" x14ac:dyDescent="0.3">
      <c r="A5" s="2" t="s">
        <v>3</v>
      </c>
      <c r="B5" s="2" t="s">
        <v>4</v>
      </c>
      <c r="C5" s="2"/>
      <c r="D5" s="2" t="s">
        <v>3</v>
      </c>
      <c r="E5" s="2" t="s">
        <v>4</v>
      </c>
      <c r="F5" s="2"/>
    </row>
    <row r="6" spans="1:6" ht="15.75" customHeight="1" x14ac:dyDescent="0.3">
      <c r="A6" s="3" t="s">
        <v>5</v>
      </c>
      <c r="B6" s="4">
        <v>883</v>
      </c>
      <c r="C6" s="4"/>
      <c r="D6" s="3" t="s">
        <v>6</v>
      </c>
      <c r="E6" s="4" t="s">
        <v>7</v>
      </c>
      <c r="F6" s="4"/>
    </row>
    <row r="7" spans="1:6" ht="15.75" customHeight="1" x14ac:dyDescent="0.3">
      <c r="A7" s="5" t="s">
        <v>8</v>
      </c>
      <c r="B7" s="6">
        <v>933</v>
      </c>
      <c r="C7" s="7"/>
      <c r="D7" s="5" t="s">
        <v>9</v>
      </c>
      <c r="E7" s="7">
        <v>13787</v>
      </c>
      <c r="F7" s="7"/>
    </row>
    <row r="8" spans="1:6" ht="15.75" customHeight="1" x14ac:dyDescent="0.3">
      <c r="A8" s="3" t="s">
        <v>10</v>
      </c>
      <c r="B8" s="142">
        <v>5.7000000000000002E-2</v>
      </c>
      <c r="C8" s="4"/>
      <c r="D8" s="3" t="s">
        <v>11</v>
      </c>
      <c r="E8" s="4">
        <v>13574</v>
      </c>
      <c r="F8" s="4"/>
    </row>
    <row r="9" spans="1:6" ht="15.75" customHeight="1" x14ac:dyDescent="0.3">
      <c r="A9" s="5" t="s">
        <v>12</v>
      </c>
      <c r="B9" s="8" t="s">
        <v>13</v>
      </c>
      <c r="C9" s="7"/>
      <c r="D9" s="5" t="s">
        <v>14</v>
      </c>
      <c r="E9" s="7">
        <v>15.6</v>
      </c>
      <c r="F9" s="7"/>
    </row>
    <row r="10" spans="1:6" ht="15.75" customHeight="1" x14ac:dyDescent="0.3">
      <c r="A10" s="3" t="s">
        <v>15</v>
      </c>
      <c r="B10" s="4">
        <v>1279</v>
      </c>
      <c r="C10" s="4"/>
      <c r="D10" s="3" t="s">
        <v>16</v>
      </c>
      <c r="E10" s="4" t="s">
        <v>17</v>
      </c>
      <c r="F10" s="4"/>
    </row>
    <row r="11" spans="1:6" ht="15.75" customHeight="1" x14ac:dyDescent="0.3">
      <c r="A11" s="5" t="s">
        <v>18</v>
      </c>
      <c r="B11" s="7">
        <v>235</v>
      </c>
      <c r="C11" s="7"/>
      <c r="D11" s="5" t="s">
        <v>19</v>
      </c>
      <c r="E11" s="143">
        <v>0.25</v>
      </c>
      <c r="F11" s="7"/>
    </row>
    <row r="12" spans="1:6" ht="15.75" customHeight="1" x14ac:dyDescent="0.3">
      <c r="A12" s="3" t="s">
        <v>20</v>
      </c>
      <c r="B12" s="4">
        <v>175</v>
      </c>
      <c r="C12" s="4"/>
      <c r="D12" s="3" t="s">
        <v>21</v>
      </c>
      <c r="E12" s="4" t="s">
        <v>22</v>
      </c>
      <c r="F12" s="4"/>
    </row>
    <row r="13" spans="1:6" ht="15.75" customHeight="1" x14ac:dyDescent="0.3">
      <c r="A13" s="5" t="s">
        <v>23</v>
      </c>
      <c r="B13" s="7">
        <v>11.18</v>
      </c>
      <c r="C13" s="7"/>
      <c r="D13" s="5" t="s">
        <v>24</v>
      </c>
      <c r="E13" s="7">
        <v>66.2</v>
      </c>
      <c r="F13" s="7"/>
    </row>
    <row r="14" spans="1:6" ht="15.75" customHeight="1" x14ac:dyDescent="0.3">
      <c r="A14" s="3" t="s">
        <v>25</v>
      </c>
      <c r="B14" s="4" t="s">
        <v>26</v>
      </c>
      <c r="C14" s="4"/>
      <c r="D14" s="3" t="s">
        <v>27</v>
      </c>
      <c r="E14" s="4">
        <v>49.1</v>
      </c>
      <c r="F14" s="4"/>
    </row>
    <row r="15" spans="1:6" ht="15.75" customHeight="1" x14ac:dyDescent="0.3">
      <c r="A15" s="5" t="s">
        <v>28</v>
      </c>
      <c r="B15" s="7" t="s">
        <v>29</v>
      </c>
      <c r="C15" s="7"/>
      <c r="D15" s="5" t="s">
        <v>30</v>
      </c>
      <c r="E15" s="7" t="s">
        <v>31</v>
      </c>
      <c r="F15" s="7"/>
    </row>
    <row r="16" spans="1:6" ht="15.75" customHeight="1" x14ac:dyDescent="0.3">
      <c r="A16" s="3" t="s">
        <v>32</v>
      </c>
      <c r="B16" s="4" t="s">
        <v>33</v>
      </c>
      <c r="C16" s="4"/>
      <c r="D16" s="3" t="s">
        <v>34</v>
      </c>
      <c r="E16" s="4">
        <v>61.6</v>
      </c>
      <c r="F16" s="4"/>
    </row>
    <row r="17" spans="1:6" ht="15.75" customHeight="1" x14ac:dyDescent="0.3">
      <c r="A17" s="5" t="s">
        <v>35</v>
      </c>
      <c r="B17" s="7">
        <v>1845</v>
      </c>
      <c r="C17" s="7"/>
      <c r="D17" s="5" t="s">
        <v>36</v>
      </c>
      <c r="E17" s="7" t="s">
        <v>37</v>
      </c>
      <c r="F17" s="7"/>
    </row>
    <row r="19" spans="1:6" ht="18" customHeight="1" x14ac:dyDescent="0.3">
      <c r="A19" s="150" t="s">
        <v>38</v>
      </c>
      <c r="B19" s="150"/>
      <c r="C19" s="150"/>
      <c r="D19" s="150"/>
      <c r="E19" s="150"/>
      <c r="F19" s="150"/>
    </row>
    <row r="20" spans="1:6" ht="15.75" customHeight="1" x14ac:dyDescent="0.3">
      <c r="A20" s="146" t="s">
        <v>39</v>
      </c>
      <c r="B20" s="146"/>
      <c r="C20" s="146"/>
      <c r="D20" s="146"/>
      <c r="E20" s="146"/>
      <c r="F20" s="146"/>
    </row>
    <row r="21" spans="1:6" ht="15.75" customHeight="1" x14ac:dyDescent="0.3">
      <c r="A21" s="145" t="s">
        <v>40</v>
      </c>
      <c r="B21" s="145"/>
      <c r="C21" s="145"/>
      <c r="D21" s="145"/>
      <c r="E21" s="145"/>
      <c r="F21" s="145"/>
    </row>
    <row r="22" spans="1:6" ht="15.75" customHeight="1" x14ac:dyDescent="0.3">
      <c r="A22" s="146" t="s">
        <v>41</v>
      </c>
      <c r="B22" s="146"/>
      <c r="C22" s="146"/>
      <c r="D22" s="146"/>
      <c r="E22" s="146"/>
      <c r="F22" s="146"/>
    </row>
    <row r="23" spans="1:6" ht="15.75" customHeight="1" x14ac:dyDescent="0.3">
      <c r="A23" s="145" t="s">
        <v>42</v>
      </c>
      <c r="B23" s="145"/>
      <c r="C23" s="145"/>
      <c r="D23" s="145"/>
      <c r="E23" s="145"/>
      <c r="F23" s="145"/>
    </row>
    <row r="24" spans="1:6" ht="15.75" customHeight="1" x14ac:dyDescent="0.3">
      <c r="A24" s="146" t="s">
        <v>43</v>
      </c>
      <c r="B24" s="146"/>
      <c r="C24" s="146"/>
      <c r="D24" s="146"/>
      <c r="E24" s="146"/>
      <c r="F24" s="146"/>
    </row>
    <row r="25" spans="1:6" ht="15.75" customHeight="1" x14ac:dyDescent="0.3">
      <c r="A25" s="145" t="s">
        <v>44</v>
      </c>
      <c r="B25" s="145"/>
      <c r="C25" s="145"/>
      <c r="D25" s="145"/>
      <c r="E25" s="145"/>
      <c r="F25" s="145"/>
    </row>
    <row r="26" spans="1:6" ht="15.75" customHeight="1" x14ac:dyDescent="0.3">
      <c r="A26" s="144" t="s">
        <v>45</v>
      </c>
      <c r="B26" s="144"/>
      <c r="C26" s="144"/>
      <c r="D26" s="144"/>
      <c r="E26" s="144"/>
      <c r="F26" s="144"/>
    </row>
  </sheetData>
  <mergeCells count="11">
    <mergeCell ref="A1:F1"/>
    <mergeCell ref="A2:F2"/>
    <mergeCell ref="A3:F3"/>
    <mergeCell ref="A19:F19"/>
    <mergeCell ref="A20:F20"/>
    <mergeCell ref="A26:F26"/>
    <mergeCell ref="A21:F21"/>
    <mergeCell ref="A22:F22"/>
    <mergeCell ref="A23:F23"/>
    <mergeCell ref="A24:F24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showGridLines="0" zoomScaleNormal="100" workbookViewId="0">
      <selection activeCell="G18" sqref="G18"/>
    </sheetView>
  </sheetViews>
  <sheetFormatPr defaultColWidth="8.6640625" defaultRowHeight="14.4" x14ac:dyDescent="0.3"/>
  <cols>
    <col min="1" max="1" width="28" style="1" customWidth="1"/>
    <col min="2" max="8" width="10" style="1" customWidth="1"/>
    <col min="9" max="10" width="14" style="1" customWidth="1"/>
    <col min="11" max="11" width="9" bestFit="1" customWidth="1"/>
  </cols>
  <sheetData>
    <row r="1" spans="1:10" ht="27.75" customHeight="1" x14ac:dyDescent="0.3">
      <c r="A1" s="151" t="s">
        <v>46</v>
      </c>
      <c r="B1" s="151"/>
      <c r="C1" s="151"/>
      <c r="D1" s="151"/>
      <c r="E1" s="151"/>
      <c r="F1" s="151"/>
      <c r="G1" s="151"/>
      <c r="H1" s="151"/>
      <c r="I1" s="151"/>
      <c r="J1" s="151"/>
    </row>
    <row r="3" spans="1:10" ht="15" customHeight="1" x14ac:dyDescent="0.3">
      <c r="A3" s="9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382</v>
      </c>
      <c r="J3" s="2" t="s">
        <v>55</v>
      </c>
    </row>
    <row r="5" spans="1:10" ht="15.75" customHeight="1" x14ac:dyDescent="0.3">
      <c r="A5" s="3" t="s">
        <v>56</v>
      </c>
      <c r="B5" s="10">
        <v>459</v>
      </c>
      <c r="C5" s="10">
        <v>515</v>
      </c>
      <c r="D5" s="10">
        <v>594</v>
      </c>
      <c r="E5" s="10">
        <v>797</v>
      </c>
      <c r="F5" s="10">
        <v>872</v>
      </c>
      <c r="G5" s="10">
        <v>1001</v>
      </c>
      <c r="H5" s="10">
        <v>1279</v>
      </c>
      <c r="I5" s="10">
        <v>1599</v>
      </c>
      <c r="J5" s="10">
        <v>1599</v>
      </c>
    </row>
    <row r="6" spans="1:10" ht="15.75" customHeight="1" x14ac:dyDescent="0.3">
      <c r="A6" s="11" t="s">
        <v>57</v>
      </c>
      <c r="B6" s="12" t="s">
        <v>58</v>
      </c>
      <c r="C6" s="12">
        <f t="shared" ref="C6:J6" si="0">C5/B5-1</f>
        <v>0.12200435729847503</v>
      </c>
      <c r="D6" s="12">
        <f t="shared" si="0"/>
        <v>0.15339805825242725</v>
      </c>
      <c r="E6" s="12">
        <f t="shared" si="0"/>
        <v>0.34175084175084169</v>
      </c>
      <c r="F6" s="12">
        <f t="shared" si="0"/>
        <v>9.4102885821831794E-2</v>
      </c>
      <c r="G6" s="12">
        <f t="shared" si="0"/>
        <v>0.14793577981651373</v>
      </c>
      <c r="H6" s="12">
        <f t="shared" si="0"/>
        <v>0.27772227772227764</v>
      </c>
      <c r="I6" s="12">
        <f t="shared" si="0"/>
        <v>0.25019546520719316</v>
      </c>
      <c r="J6" s="12">
        <f t="shared" si="0"/>
        <v>0</v>
      </c>
    </row>
    <row r="7" spans="1:10" ht="15.75" customHeight="1" x14ac:dyDescent="0.3">
      <c r="A7" s="11" t="s">
        <v>381</v>
      </c>
      <c r="B7" s="13">
        <f>B5*73%</f>
        <v>335.07</v>
      </c>
      <c r="C7" s="13">
        <f>C5*73%</f>
        <v>375.95</v>
      </c>
      <c r="D7" s="13">
        <f>D5*69%</f>
        <v>409.85999999999996</v>
      </c>
      <c r="E7" s="13">
        <f>E5*73%</f>
        <v>581.80999999999995</v>
      </c>
      <c r="F7" s="13">
        <f>F5*70%</f>
        <v>610.4</v>
      </c>
      <c r="G7" s="13">
        <f>G5*68%</f>
        <v>680.68000000000006</v>
      </c>
      <c r="H7" s="13">
        <f>H5*67%</f>
        <v>856.93000000000006</v>
      </c>
      <c r="I7" s="13">
        <f>I5*67%</f>
        <v>1071.3300000000002</v>
      </c>
      <c r="J7" s="13">
        <f>J5*67%</f>
        <v>1071.3300000000002</v>
      </c>
    </row>
    <row r="8" spans="1:10" ht="15.75" customHeight="1" x14ac:dyDescent="0.3">
      <c r="A8" s="3" t="s">
        <v>59</v>
      </c>
      <c r="B8" s="14">
        <f t="shared" ref="B8:J8" si="1">B5-B7</f>
        <v>123.93</v>
      </c>
      <c r="C8" s="14">
        <f t="shared" si="1"/>
        <v>139.05000000000001</v>
      </c>
      <c r="D8" s="14">
        <f t="shared" si="1"/>
        <v>184.14000000000004</v>
      </c>
      <c r="E8" s="14">
        <f t="shared" si="1"/>
        <v>215.19000000000005</v>
      </c>
      <c r="F8" s="14">
        <f t="shared" si="1"/>
        <v>261.60000000000002</v>
      </c>
      <c r="G8" s="14">
        <f t="shared" si="1"/>
        <v>320.31999999999994</v>
      </c>
      <c r="H8" s="14">
        <f t="shared" si="1"/>
        <v>422.06999999999994</v>
      </c>
      <c r="I8" s="14">
        <f t="shared" si="1"/>
        <v>527.66999999999985</v>
      </c>
      <c r="J8" s="14">
        <f t="shared" si="1"/>
        <v>527.66999999999985</v>
      </c>
    </row>
    <row r="9" spans="1:10" ht="15.75" customHeight="1" x14ac:dyDescent="0.3">
      <c r="A9" s="11" t="s">
        <v>60</v>
      </c>
      <c r="B9" s="12">
        <f t="shared" ref="B9:J9" si="2">B8/B5</f>
        <v>0.27</v>
      </c>
      <c r="C9" s="12">
        <f t="shared" si="2"/>
        <v>0.27</v>
      </c>
      <c r="D9" s="12">
        <f t="shared" si="2"/>
        <v>0.31000000000000005</v>
      </c>
      <c r="E9" s="12">
        <f t="shared" si="2"/>
        <v>0.27000000000000007</v>
      </c>
      <c r="F9" s="12">
        <f t="shared" si="2"/>
        <v>0.30000000000000004</v>
      </c>
      <c r="G9" s="12">
        <f t="shared" si="2"/>
        <v>0.31999999999999995</v>
      </c>
      <c r="H9" s="12">
        <f t="shared" si="2"/>
        <v>0.32999999999999996</v>
      </c>
      <c r="I9" s="12">
        <f t="shared" si="2"/>
        <v>0.3299999999999999</v>
      </c>
      <c r="J9" s="12">
        <f t="shared" si="2"/>
        <v>0.3299999999999999</v>
      </c>
    </row>
    <row r="10" spans="1:10" ht="15.75" customHeight="1" x14ac:dyDescent="0.3">
      <c r="A10" s="3" t="s">
        <v>61</v>
      </c>
      <c r="B10" s="10">
        <v>30</v>
      </c>
      <c r="C10" s="10">
        <v>38</v>
      </c>
      <c r="D10" s="10">
        <v>71</v>
      </c>
      <c r="E10" s="10">
        <v>97</v>
      </c>
      <c r="F10" s="10">
        <v>134</v>
      </c>
      <c r="G10" s="10">
        <v>171</v>
      </c>
      <c r="H10" s="10">
        <v>235</v>
      </c>
      <c r="I10" s="10">
        <v>296</v>
      </c>
      <c r="J10" s="10">
        <v>282</v>
      </c>
    </row>
    <row r="11" spans="1:10" ht="15.75" customHeight="1" x14ac:dyDescent="0.3">
      <c r="A11" s="11" t="s">
        <v>62</v>
      </c>
      <c r="B11" s="12">
        <f t="shared" ref="B11:J11" si="3">B10/B5</f>
        <v>6.535947712418301E-2</v>
      </c>
      <c r="C11" s="12">
        <f t="shared" si="3"/>
        <v>7.3786407766990289E-2</v>
      </c>
      <c r="D11" s="12">
        <f t="shared" si="3"/>
        <v>0.11952861952861953</v>
      </c>
      <c r="E11" s="12">
        <f t="shared" si="3"/>
        <v>0.12170639899623588</v>
      </c>
      <c r="F11" s="12">
        <f t="shared" si="3"/>
        <v>0.1536697247706422</v>
      </c>
      <c r="G11" s="12">
        <f t="shared" si="3"/>
        <v>0.17082917082917082</v>
      </c>
      <c r="H11" s="12">
        <f t="shared" si="3"/>
        <v>0.18373729476153244</v>
      </c>
      <c r="I11" s="12">
        <f t="shared" si="3"/>
        <v>0.18511569731081925</v>
      </c>
      <c r="J11" s="12">
        <f t="shared" si="3"/>
        <v>0.17636022514071295</v>
      </c>
    </row>
    <row r="12" spans="1:10" ht="15.75" customHeight="1" x14ac:dyDescent="0.3">
      <c r="A12" s="11" t="s">
        <v>63</v>
      </c>
      <c r="B12" s="13">
        <v>26</v>
      </c>
      <c r="C12" s="13">
        <v>22</v>
      </c>
      <c r="D12" s="13">
        <v>22</v>
      </c>
      <c r="E12" s="13">
        <v>22</v>
      </c>
      <c r="F12" s="13">
        <v>21</v>
      </c>
      <c r="G12" s="13">
        <v>21</v>
      </c>
      <c r="H12" s="13">
        <v>20</v>
      </c>
      <c r="I12" s="13">
        <v>21</v>
      </c>
      <c r="J12" s="13">
        <v>21</v>
      </c>
    </row>
    <row r="13" spans="1:10" ht="15.75" customHeight="1" x14ac:dyDescent="0.3">
      <c r="A13" s="3" t="s">
        <v>64</v>
      </c>
      <c r="B13" s="14">
        <f t="shared" ref="B13:J13" si="4">B10-B12</f>
        <v>4</v>
      </c>
      <c r="C13" s="14">
        <f t="shared" si="4"/>
        <v>16</v>
      </c>
      <c r="D13" s="14">
        <f t="shared" si="4"/>
        <v>49</v>
      </c>
      <c r="E13" s="14">
        <f t="shared" si="4"/>
        <v>75</v>
      </c>
      <c r="F13" s="14">
        <f t="shared" si="4"/>
        <v>113</v>
      </c>
      <c r="G13" s="14">
        <f t="shared" si="4"/>
        <v>150</v>
      </c>
      <c r="H13" s="14">
        <f t="shared" si="4"/>
        <v>215</v>
      </c>
      <c r="I13" s="14">
        <f t="shared" si="4"/>
        <v>275</v>
      </c>
      <c r="J13" s="14">
        <f t="shared" si="4"/>
        <v>261</v>
      </c>
    </row>
    <row r="14" spans="1:10" ht="15.75" customHeight="1" x14ac:dyDescent="0.3">
      <c r="A14" s="11" t="s">
        <v>65</v>
      </c>
      <c r="B14" s="13">
        <v>6</v>
      </c>
      <c r="C14" s="13">
        <v>10</v>
      </c>
      <c r="D14" s="13">
        <v>9</v>
      </c>
      <c r="E14" s="13">
        <v>7</v>
      </c>
      <c r="F14" s="13">
        <v>4</v>
      </c>
      <c r="G14" s="13">
        <v>4</v>
      </c>
      <c r="H14" s="13">
        <v>8</v>
      </c>
      <c r="I14" s="13">
        <v>2</v>
      </c>
      <c r="J14" s="13">
        <v>2</v>
      </c>
    </row>
    <row r="15" spans="1:10" ht="15.75" customHeight="1" x14ac:dyDescent="0.3">
      <c r="A15" s="3" t="s">
        <v>66</v>
      </c>
      <c r="B15" s="14">
        <f t="shared" ref="B15:J15" si="5">B13-B14</f>
        <v>-2</v>
      </c>
      <c r="C15" s="14">
        <f t="shared" si="5"/>
        <v>6</v>
      </c>
      <c r="D15" s="14">
        <f t="shared" si="5"/>
        <v>40</v>
      </c>
      <c r="E15" s="14">
        <f t="shared" si="5"/>
        <v>68</v>
      </c>
      <c r="F15" s="14">
        <f t="shared" si="5"/>
        <v>109</v>
      </c>
      <c r="G15" s="14">
        <f t="shared" si="5"/>
        <v>146</v>
      </c>
      <c r="H15" s="14">
        <f t="shared" si="5"/>
        <v>207</v>
      </c>
      <c r="I15" s="14">
        <f t="shared" si="5"/>
        <v>273</v>
      </c>
      <c r="J15" s="14">
        <f t="shared" si="5"/>
        <v>259</v>
      </c>
    </row>
    <row r="16" spans="1:10" ht="15.75" customHeight="1" x14ac:dyDescent="0.3">
      <c r="A16" s="11" t="s">
        <v>67</v>
      </c>
      <c r="B16" s="13">
        <v>4</v>
      </c>
      <c r="C16" s="13">
        <v>3</v>
      </c>
      <c r="D16" s="13">
        <v>11</v>
      </c>
      <c r="E16" s="13">
        <v>21</v>
      </c>
      <c r="F16" s="13">
        <v>33</v>
      </c>
      <c r="G16" s="13">
        <v>44</v>
      </c>
      <c r="H16" s="13">
        <v>57</v>
      </c>
      <c r="I16" s="13">
        <v>69</v>
      </c>
      <c r="J16" s="13">
        <v>69</v>
      </c>
    </row>
    <row r="17" spans="1:10" ht="15.75" customHeight="1" x14ac:dyDescent="0.3">
      <c r="A17" s="3" t="s">
        <v>68</v>
      </c>
      <c r="B17" s="10">
        <v>3</v>
      </c>
      <c r="C17" s="10">
        <v>30</v>
      </c>
      <c r="D17" s="10">
        <v>45</v>
      </c>
      <c r="E17" s="10">
        <v>70</v>
      </c>
      <c r="F17" s="10">
        <v>97</v>
      </c>
      <c r="G17" s="10">
        <v>118</v>
      </c>
      <c r="H17" s="10">
        <v>175</v>
      </c>
      <c r="I17" s="10">
        <v>208</v>
      </c>
      <c r="J17" s="10">
        <v>208</v>
      </c>
    </row>
    <row r="18" spans="1:10" ht="15.75" customHeight="1" x14ac:dyDescent="0.3">
      <c r="A18" s="11" t="s">
        <v>69</v>
      </c>
      <c r="B18" s="12">
        <f t="shared" ref="B18:J18" si="6">B17/B5</f>
        <v>6.5359477124183009E-3</v>
      </c>
      <c r="C18" s="12">
        <f t="shared" si="6"/>
        <v>5.8252427184466021E-2</v>
      </c>
      <c r="D18" s="12">
        <f t="shared" si="6"/>
        <v>7.575757575757576E-2</v>
      </c>
      <c r="E18" s="12">
        <f t="shared" si="6"/>
        <v>8.7829360100376411E-2</v>
      </c>
      <c r="F18" s="12">
        <f t="shared" si="6"/>
        <v>0.11123853211009174</v>
      </c>
      <c r="G18" s="12">
        <f t="shared" si="6"/>
        <v>0.11788211788211789</v>
      </c>
      <c r="H18" s="12">
        <f t="shared" si="6"/>
        <v>0.13682564503518374</v>
      </c>
      <c r="I18" s="12">
        <f t="shared" si="6"/>
        <v>0.13008130081300814</v>
      </c>
      <c r="J18" s="12">
        <f t="shared" si="6"/>
        <v>0.13008130081300814</v>
      </c>
    </row>
    <row r="19" spans="1:10" ht="15.75" customHeight="1" x14ac:dyDescent="0.3">
      <c r="A19" s="11" t="s">
        <v>70</v>
      </c>
      <c r="B19" s="15">
        <v>0.2</v>
      </c>
      <c r="C19" s="15">
        <v>1.94</v>
      </c>
      <c r="D19" s="15">
        <v>2.92</v>
      </c>
      <c r="E19" s="15">
        <v>4.53</v>
      </c>
      <c r="F19" s="15">
        <v>6.2</v>
      </c>
      <c r="G19" s="15">
        <v>7.58</v>
      </c>
      <c r="H19" s="15">
        <v>11.18</v>
      </c>
      <c r="I19" s="15">
        <v>13.33</v>
      </c>
      <c r="J19" s="15">
        <v>13.33</v>
      </c>
    </row>
    <row r="20" spans="1:10" x14ac:dyDescent="0.3">
      <c r="A20" s="126" t="s">
        <v>387</v>
      </c>
      <c r="H20" s="1">
        <f>H13/H26</f>
        <v>0.25</v>
      </c>
    </row>
    <row r="22" spans="1:10" ht="19.5" customHeight="1" x14ac:dyDescent="0.3">
      <c r="A22" s="152" t="s">
        <v>71</v>
      </c>
      <c r="B22" s="152"/>
      <c r="C22" s="152"/>
      <c r="D22" s="152"/>
      <c r="E22" s="152"/>
      <c r="F22" s="152"/>
      <c r="G22" s="152"/>
      <c r="H22" s="152"/>
      <c r="I22" s="152"/>
      <c r="J22" s="152"/>
    </row>
    <row r="23" spans="1:10" ht="15" customHeight="1" x14ac:dyDescent="0.3">
      <c r="A23" s="16" t="s">
        <v>72</v>
      </c>
      <c r="B23" s="17" t="s">
        <v>48</v>
      </c>
      <c r="C23" s="17" t="s">
        <v>49</v>
      </c>
      <c r="D23" s="17" t="s">
        <v>50</v>
      </c>
      <c r="E23" s="17" t="s">
        <v>51</v>
      </c>
      <c r="F23" s="17" t="s">
        <v>52</v>
      </c>
      <c r="G23" s="17" t="s">
        <v>53</v>
      </c>
      <c r="H23" s="17" t="s">
        <v>54</v>
      </c>
      <c r="I23" s="17" t="s">
        <v>382</v>
      </c>
      <c r="J23" s="17" t="s">
        <v>55</v>
      </c>
    </row>
    <row r="24" spans="1:10" ht="15.75" customHeight="1" x14ac:dyDescent="0.3">
      <c r="A24" s="11" t="s">
        <v>73</v>
      </c>
      <c r="B24" s="13">
        <v>31</v>
      </c>
      <c r="C24" s="13">
        <v>31</v>
      </c>
      <c r="D24" s="13">
        <v>31</v>
      </c>
      <c r="E24" s="13">
        <v>31</v>
      </c>
      <c r="F24" s="13">
        <v>31</v>
      </c>
      <c r="G24" s="13">
        <v>31</v>
      </c>
      <c r="H24" s="13">
        <v>31</v>
      </c>
      <c r="I24" s="13">
        <v>31</v>
      </c>
      <c r="J24" s="18" t="s">
        <v>58</v>
      </c>
    </row>
    <row r="25" spans="1:10" ht="15.75" customHeight="1" x14ac:dyDescent="0.3">
      <c r="A25" s="11" t="s">
        <v>74</v>
      </c>
      <c r="B25" s="13">
        <v>385</v>
      </c>
      <c r="C25" s="13">
        <v>394</v>
      </c>
      <c r="D25" s="13">
        <v>440</v>
      </c>
      <c r="E25" s="13">
        <v>496</v>
      </c>
      <c r="F25" s="13">
        <v>573</v>
      </c>
      <c r="G25" s="13">
        <v>674</v>
      </c>
      <c r="H25" s="13">
        <v>829</v>
      </c>
      <c r="I25" s="18" t="s">
        <v>58</v>
      </c>
      <c r="J25" s="18" t="s">
        <v>58</v>
      </c>
    </row>
    <row r="26" spans="1:10" ht="15.75" customHeight="1" x14ac:dyDescent="0.3">
      <c r="A26" s="3" t="s">
        <v>75</v>
      </c>
      <c r="B26" s="14">
        <f t="shared" ref="B26:H26" si="7">B24+B25</f>
        <v>416</v>
      </c>
      <c r="C26" s="14">
        <f t="shared" si="7"/>
        <v>425</v>
      </c>
      <c r="D26" s="14">
        <f t="shared" si="7"/>
        <v>471</v>
      </c>
      <c r="E26" s="14">
        <f t="shared" si="7"/>
        <v>527</v>
      </c>
      <c r="F26" s="14">
        <f t="shared" si="7"/>
        <v>604</v>
      </c>
      <c r="G26" s="14">
        <f t="shared" si="7"/>
        <v>705</v>
      </c>
      <c r="H26" s="14">
        <f t="shared" si="7"/>
        <v>860</v>
      </c>
      <c r="I26" s="14" t="s">
        <v>58</v>
      </c>
      <c r="J26" s="14" t="s">
        <v>58</v>
      </c>
    </row>
    <row r="27" spans="1:10" ht="15.75" customHeight="1" x14ac:dyDescent="0.3">
      <c r="A27" s="11" t="s">
        <v>76</v>
      </c>
      <c r="B27" s="13">
        <v>61</v>
      </c>
      <c r="C27" s="13">
        <v>68</v>
      </c>
      <c r="D27" s="13">
        <v>52</v>
      </c>
      <c r="E27" s="13">
        <v>71</v>
      </c>
      <c r="F27" s="13">
        <v>0</v>
      </c>
      <c r="G27" s="13">
        <v>0</v>
      </c>
      <c r="H27" s="13">
        <v>12</v>
      </c>
      <c r="I27" s="13">
        <v>12</v>
      </c>
      <c r="J27" s="18" t="s">
        <v>58</v>
      </c>
    </row>
    <row r="28" spans="1:10" ht="15.75" customHeight="1" x14ac:dyDescent="0.3">
      <c r="A28" s="11" t="s">
        <v>77</v>
      </c>
      <c r="B28" s="13">
        <v>168</v>
      </c>
      <c r="C28" s="13">
        <v>144</v>
      </c>
      <c r="D28" s="13">
        <v>108</v>
      </c>
      <c r="E28" s="13">
        <v>151</v>
      </c>
      <c r="F28" s="13">
        <v>131</v>
      </c>
      <c r="G28" s="13">
        <v>140</v>
      </c>
      <c r="H28" s="13">
        <v>231</v>
      </c>
      <c r="I28" s="13">
        <v>231</v>
      </c>
      <c r="J28" s="18" t="s">
        <v>58</v>
      </c>
    </row>
    <row r="29" spans="1:10" ht="15.75" customHeight="1" x14ac:dyDescent="0.3">
      <c r="A29" s="3" t="s">
        <v>78</v>
      </c>
      <c r="B29" s="10">
        <v>696</v>
      </c>
      <c r="C29" s="10">
        <v>754</v>
      </c>
      <c r="D29" s="10">
        <v>785</v>
      </c>
      <c r="E29" s="10">
        <v>862</v>
      </c>
      <c r="F29" s="10">
        <v>930</v>
      </c>
      <c r="G29" s="10">
        <v>1098</v>
      </c>
      <c r="H29" s="10">
        <v>1320</v>
      </c>
      <c r="I29" s="14" t="s">
        <v>58</v>
      </c>
      <c r="J29" s="14" t="s">
        <v>58</v>
      </c>
    </row>
    <row r="30" spans="1:10" ht="15.75" customHeight="1" x14ac:dyDescent="0.3">
      <c r="A30" s="11" t="s">
        <v>79</v>
      </c>
      <c r="B30" s="13">
        <v>84</v>
      </c>
      <c r="C30" s="13">
        <v>110</v>
      </c>
      <c r="D30" s="13">
        <v>150</v>
      </c>
      <c r="E30" s="13">
        <v>190</v>
      </c>
      <c r="F30" s="13">
        <v>260</v>
      </c>
      <c r="G30" s="13">
        <v>300</v>
      </c>
      <c r="H30" s="13">
        <v>280</v>
      </c>
      <c r="I30" s="18" t="s">
        <v>58</v>
      </c>
      <c r="J30" s="18" t="s">
        <v>58</v>
      </c>
    </row>
    <row r="31" spans="1:10" ht="15.75" customHeight="1" x14ac:dyDescent="0.3">
      <c r="A31" s="11" t="s">
        <v>80</v>
      </c>
      <c r="B31" s="18">
        <f t="shared" ref="B31:H31" si="8">B27-B30</f>
        <v>-23</v>
      </c>
      <c r="C31" s="18">
        <f t="shared" si="8"/>
        <v>-42</v>
      </c>
      <c r="D31" s="18">
        <f t="shared" si="8"/>
        <v>-98</v>
      </c>
      <c r="E31" s="18">
        <f t="shared" si="8"/>
        <v>-119</v>
      </c>
      <c r="F31" s="18">
        <f t="shared" si="8"/>
        <v>-260</v>
      </c>
      <c r="G31" s="18">
        <f t="shared" si="8"/>
        <v>-300</v>
      </c>
      <c r="H31" s="18">
        <f t="shared" si="8"/>
        <v>-268</v>
      </c>
      <c r="I31" s="18" t="s">
        <v>58</v>
      </c>
      <c r="J31" s="18" t="s">
        <v>58</v>
      </c>
    </row>
    <row r="32" spans="1:10" ht="15.75" customHeight="1" x14ac:dyDescent="0.3">
      <c r="A32" s="11" t="s">
        <v>81</v>
      </c>
      <c r="B32" s="13">
        <f>539-271</f>
        <v>268</v>
      </c>
      <c r="C32" s="13">
        <f>557-265</f>
        <v>292</v>
      </c>
      <c r="D32" s="13">
        <f>590-262</f>
        <v>328</v>
      </c>
      <c r="E32" s="13">
        <f>720-309</f>
        <v>411</v>
      </c>
      <c r="F32" s="13">
        <f>720-299</f>
        <v>421</v>
      </c>
      <c r="G32" s="13">
        <f>842-333</f>
        <v>509</v>
      </c>
      <c r="H32" s="13">
        <f>1140-491</f>
        <v>649</v>
      </c>
      <c r="I32" s="18" t="s">
        <v>58</v>
      </c>
      <c r="J32" s="18" t="s">
        <v>58</v>
      </c>
    </row>
    <row r="33" spans="1:10" ht="15.75" customHeight="1" x14ac:dyDescent="0.3">
      <c r="A33" s="11" t="s">
        <v>19</v>
      </c>
      <c r="B33" s="12" t="s">
        <v>58</v>
      </c>
      <c r="C33" s="12" t="s">
        <v>58</v>
      </c>
      <c r="D33" s="12" t="s">
        <v>58</v>
      </c>
      <c r="E33" s="12" t="s">
        <v>58</v>
      </c>
      <c r="F33" s="12" t="s">
        <v>58</v>
      </c>
      <c r="G33" s="12" t="s">
        <v>58</v>
      </c>
      <c r="H33" s="12">
        <f>H13/H26</f>
        <v>0.25</v>
      </c>
      <c r="I33" s="12" t="s">
        <v>58</v>
      </c>
      <c r="J33" s="12" t="s">
        <v>58</v>
      </c>
    </row>
    <row r="35" spans="1:10" ht="15" customHeight="1" x14ac:dyDescent="0.3">
      <c r="A35" s="152" t="s">
        <v>82</v>
      </c>
      <c r="B35" s="152"/>
      <c r="C35" s="152"/>
      <c r="D35" s="152"/>
      <c r="E35" s="152"/>
      <c r="F35" s="152"/>
      <c r="G35" s="152"/>
      <c r="H35" s="152"/>
      <c r="I35" s="152"/>
      <c r="J35" s="152"/>
    </row>
    <row r="36" spans="1:10" ht="15" customHeight="1" x14ac:dyDescent="0.3">
      <c r="A36" s="16" t="s">
        <v>83</v>
      </c>
      <c r="B36" s="17" t="s">
        <v>48</v>
      </c>
      <c r="C36" s="17" t="s">
        <v>49</v>
      </c>
      <c r="D36" s="17" t="s">
        <v>50</v>
      </c>
      <c r="E36" s="17" t="s">
        <v>51</v>
      </c>
      <c r="F36" s="17" t="s">
        <v>52</v>
      </c>
      <c r="G36" s="17" t="s">
        <v>53</v>
      </c>
      <c r="H36" s="17" t="s">
        <v>54</v>
      </c>
      <c r="I36" s="17" t="s">
        <v>382</v>
      </c>
      <c r="J36" s="17" t="s">
        <v>55</v>
      </c>
    </row>
    <row r="37" spans="1:10" ht="15.75" customHeight="1" x14ac:dyDescent="0.3">
      <c r="A37" s="3" t="s">
        <v>84</v>
      </c>
      <c r="B37" s="10">
        <v>48</v>
      </c>
      <c r="C37" s="10">
        <v>56</v>
      </c>
      <c r="D37" s="10">
        <v>-3</v>
      </c>
      <c r="E37" s="10">
        <v>11</v>
      </c>
      <c r="F37" s="10">
        <v>89</v>
      </c>
      <c r="G37" s="10">
        <v>84</v>
      </c>
      <c r="H37" s="10">
        <v>40</v>
      </c>
      <c r="I37" s="14" t="s">
        <v>58</v>
      </c>
      <c r="J37" s="14" t="s">
        <v>58</v>
      </c>
    </row>
    <row r="38" spans="1:10" ht="15.75" customHeight="1" x14ac:dyDescent="0.3">
      <c r="A38" s="11" t="s">
        <v>85</v>
      </c>
      <c r="B38" s="13">
        <v>-13</v>
      </c>
      <c r="C38" s="13">
        <v>-13</v>
      </c>
      <c r="D38" s="13">
        <v>-15</v>
      </c>
      <c r="E38" s="13">
        <v>-15</v>
      </c>
      <c r="F38" s="13">
        <v>-21</v>
      </c>
      <c r="G38" s="13">
        <v>-45</v>
      </c>
      <c r="H38" s="13">
        <v>-56</v>
      </c>
      <c r="I38" s="18" t="s">
        <v>58</v>
      </c>
      <c r="J38" s="18" t="s">
        <v>58</v>
      </c>
    </row>
    <row r="39" spans="1:10" ht="15.75" customHeight="1" x14ac:dyDescent="0.3">
      <c r="A39" s="3" t="s">
        <v>86</v>
      </c>
      <c r="B39" s="14">
        <f t="shared" ref="B39:H39" si="9">B37+B38</f>
        <v>35</v>
      </c>
      <c r="C39" s="14">
        <f t="shared" si="9"/>
        <v>43</v>
      </c>
      <c r="D39" s="14">
        <f t="shared" si="9"/>
        <v>-18</v>
      </c>
      <c r="E39" s="14">
        <f t="shared" si="9"/>
        <v>-4</v>
      </c>
      <c r="F39" s="14">
        <f t="shared" si="9"/>
        <v>68</v>
      </c>
      <c r="G39" s="14">
        <f t="shared" si="9"/>
        <v>39</v>
      </c>
      <c r="H39" s="14">
        <f t="shared" si="9"/>
        <v>-16</v>
      </c>
      <c r="I39" s="14" t="s">
        <v>58</v>
      </c>
      <c r="J39" s="14" t="s">
        <v>58</v>
      </c>
    </row>
    <row r="40" spans="1:10" ht="15.75" customHeight="1" x14ac:dyDescent="0.3">
      <c r="A40" s="11" t="s">
        <v>87</v>
      </c>
      <c r="B40" s="13">
        <v>-13</v>
      </c>
      <c r="C40" s="13">
        <v>0</v>
      </c>
      <c r="D40" s="13">
        <v>-11</v>
      </c>
      <c r="E40" s="13">
        <v>-14</v>
      </c>
      <c r="F40" s="13">
        <v>-13</v>
      </c>
      <c r="G40" s="13">
        <v>-34</v>
      </c>
      <c r="H40" s="13">
        <v>-34</v>
      </c>
      <c r="I40" s="18" t="s">
        <v>58</v>
      </c>
      <c r="J40" s="18" t="s">
        <v>58</v>
      </c>
    </row>
    <row r="41" spans="1:10" ht="15.75" customHeight="1" x14ac:dyDescent="0.3">
      <c r="A41" s="11" t="s">
        <v>88</v>
      </c>
      <c r="B41" s="13">
        <v>-45</v>
      </c>
      <c r="C41" s="13">
        <v>-17</v>
      </c>
      <c r="D41" s="13">
        <v>-20</v>
      </c>
      <c r="E41" s="13">
        <v>11</v>
      </c>
      <c r="F41" s="13">
        <v>-89</v>
      </c>
      <c r="G41" s="13">
        <v>-16</v>
      </c>
      <c r="H41" s="13">
        <v>-7</v>
      </c>
      <c r="I41" s="18" t="s">
        <v>58</v>
      </c>
      <c r="J41" s="18" t="s">
        <v>58</v>
      </c>
    </row>
    <row r="42" spans="1:10" ht="15.75" customHeight="1" x14ac:dyDescent="0.3">
      <c r="A42" s="11" t="s">
        <v>89</v>
      </c>
      <c r="B42" s="18">
        <f t="shared" ref="B42:H42" si="10">B37+B40+B41</f>
        <v>-10</v>
      </c>
      <c r="C42" s="18">
        <f t="shared" si="10"/>
        <v>39</v>
      </c>
      <c r="D42" s="18">
        <f t="shared" si="10"/>
        <v>-34</v>
      </c>
      <c r="E42" s="18">
        <f t="shared" si="10"/>
        <v>8</v>
      </c>
      <c r="F42" s="18">
        <f t="shared" si="10"/>
        <v>-13</v>
      </c>
      <c r="G42" s="18">
        <f t="shared" si="10"/>
        <v>34</v>
      </c>
      <c r="H42" s="18">
        <f t="shared" si="10"/>
        <v>-1</v>
      </c>
      <c r="I42" s="18" t="s">
        <v>58</v>
      </c>
      <c r="J42" s="18" t="s">
        <v>58</v>
      </c>
    </row>
  </sheetData>
  <mergeCells count="3">
    <mergeCell ref="A1:J1"/>
    <mergeCell ref="A22:J22"/>
    <mergeCell ref="A35:J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Views>
    <sheetView showGridLines="0" topLeftCell="A54" zoomScaleNormal="100" workbookViewId="0">
      <selection activeCell="B76" sqref="B76"/>
    </sheetView>
  </sheetViews>
  <sheetFormatPr defaultColWidth="8.6640625" defaultRowHeight="14.4" x14ac:dyDescent="0.3"/>
  <cols>
    <col min="1" max="1" width="32" style="1" customWidth="1"/>
    <col min="2" max="2" width="16" style="1" customWidth="1"/>
    <col min="3" max="8" width="12" style="1" customWidth="1"/>
    <col min="9" max="9" width="20" style="1" customWidth="1"/>
    <col min="10" max="11" width="14" style="1" customWidth="1"/>
  </cols>
  <sheetData>
    <row r="1" spans="1:11" ht="27.75" customHeight="1" x14ac:dyDescent="0.3">
      <c r="A1" s="19" t="s">
        <v>90</v>
      </c>
    </row>
    <row r="3" spans="1:11" ht="25.5" customHeight="1" x14ac:dyDescent="0.3">
      <c r="A3" s="158" t="s">
        <v>91</v>
      </c>
      <c r="B3" s="158"/>
      <c r="C3" s="158"/>
      <c r="D3" s="158"/>
      <c r="E3" s="158"/>
      <c r="F3" s="158"/>
      <c r="G3" s="158"/>
      <c r="H3" s="158"/>
      <c r="I3" s="20"/>
      <c r="J3" s="20"/>
      <c r="K3" s="20"/>
    </row>
    <row r="4" spans="1:11" ht="15.75" customHeight="1" x14ac:dyDescent="0.3">
      <c r="A4" s="21"/>
      <c r="B4" s="22"/>
      <c r="C4" s="21"/>
      <c r="D4" s="21"/>
      <c r="E4" s="20"/>
      <c r="F4" s="20"/>
      <c r="G4" s="20"/>
      <c r="H4" s="20"/>
      <c r="I4" s="20"/>
      <c r="J4" s="20"/>
      <c r="K4" s="20"/>
    </row>
    <row r="5" spans="1:11" ht="19.5" customHeight="1" x14ac:dyDescent="0.3">
      <c r="A5" s="157" t="s">
        <v>92</v>
      </c>
      <c r="B5" s="157"/>
      <c r="C5" s="157"/>
      <c r="D5" s="157"/>
      <c r="E5" s="20"/>
      <c r="F5" s="20"/>
      <c r="G5" s="20"/>
      <c r="H5" s="20"/>
      <c r="I5" s="20"/>
      <c r="J5" s="20"/>
      <c r="K5" s="20"/>
    </row>
    <row r="6" spans="1:11" ht="15.75" customHeight="1" x14ac:dyDescent="0.3">
      <c r="A6" s="23" t="s">
        <v>93</v>
      </c>
      <c r="B6" s="24" t="s">
        <v>4</v>
      </c>
      <c r="C6" s="25"/>
      <c r="D6" s="23" t="s">
        <v>94</v>
      </c>
      <c r="E6" s="20"/>
      <c r="F6" s="20"/>
      <c r="G6" s="20"/>
      <c r="H6" s="20"/>
      <c r="I6" s="20"/>
      <c r="J6" s="20"/>
      <c r="K6" s="20"/>
    </row>
    <row r="7" spans="1:11" ht="15.75" customHeight="1" x14ac:dyDescent="0.3">
      <c r="A7" s="26" t="s">
        <v>95</v>
      </c>
      <c r="B7" s="27">
        <v>1279</v>
      </c>
      <c r="C7" s="28" t="s">
        <v>96</v>
      </c>
      <c r="D7" s="29" t="s">
        <v>97</v>
      </c>
      <c r="E7" s="20"/>
      <c r="F7" s="20"/>
      <c r="G7" s="20"/>
      <c r="H7" s="20"/>
      <c r="I7" s="20"/>
      <c r="J7" s="20"/>
      <c r="K7" s="20"/>
    </row>
    <row r="8" spans="1:11" ht="15.75" customHeight="1" x14ac:dyDescent="0.3">
      <c r="A8" s="26" t="s">
        <v>98</v>
      </c>
      <c r="B8" s="30">
        <v>0.25</v>
      </c>
      <c r="C8" s="28" t="s">
        <v>96</v>
      </c>
      <c r="D8" s="29" t="s">
        <v>99</v>
      </c>
      <c r="E8" s="20"/>
      <c r="F8" s="20"/>
      <c r="G8" s="20"/>
      <c r="H8" s="20"/>
      <c r="I8" s="20"/>
      <c r="J8" s="20"/>
      <c r="K8" s="20"/>
    </row>
    <row r="9" spans="1:11" ht="15.75" customHeight="1" x14ac:dyDescent="0.3">
      <c r="A9" s="26" t="s">
        <v>100</v>
      </c>
      <c r="B9" s="30">
        <v>0.22</v>
      </c>
      <c r="C9" s="28" t="s">
        <v>96</v>
      </c>
      <c r="D9" s="29" t="s">
        <v>101</v>
      </c>
      <c r="E9" s="20"/>
      <c r="F9" s="20"/>
      <c r="G9" s="20"/>
      <c r="H9" s="20"/>
      <c r="I9" s="20"/>
      <c r="J9" s="20"/>
      <c r="K9" s="20"/>
    </row>
    <row r="10" spans="1:11" ht="15.75" customHeight="1" x14ac:dyDescent="0.3">
      <c r="A10" s="26" t="s">
        <v>102</v>
      </c>
      <c r="B10" s="30">
        <v>0.18</v>
      </c>
      <c r="C10" s="28" t="s">
        <v>96</v>
      </c>
      <c r="D10" s="29" t="s">
        <v>103</v>
      </c>
      <c r="E10" s="20"/>
      <c r="F10" s="20"/>
      <c r="G10" s="20"/>
      <c r="H10" s="20"/>
      <c r="I10" s="20"/>
      <c r="J10" s="20"/>
      <c r="K10" s="20"/>
    </row>
    <row r="11" spans="1:11" ht="15.75" customHeight="1" x14ac:dyDescent="0.3">
      <c r="A11" s="26" t="s">
        <v>104</v>
      </c>
      <c r="B11" s="30">
        <v>0.15</v>
      </c>
      <c r="C11" s="28" t="s">
        <v>96</v>
      </c>
      <c r="D11" s="29" t="s">
        <v>105</v>
      </c>
      <c r="E11" s="20"/>
      <c r="F11" s="20"/>
      <c r="G11" s="20"/>
      <c r="H11" s="20"/>
      <c r="I11" s="20"/>
      <c r="J11" s="20"/>
      <c r="K11" s="20"/>
    </row>
    <row r="12" spans="1:11" ht="15.75" customHeight="1" x14ac:dyDescent="0.3">
      <c r="A12" s="26" t="s">
        <v>106</v>
      </c>
      <c r="B12" s="30">
        <v>0.12</v>
      </c>
      <c r="C12" s="28" t="s">
        <v>96</v>
      </c>
      <c r="D12" s="29" t="s">
        <v>107</v>
      </c>
      <c r="E12" s="20"/>
      <c r="F12" s="20"/>
      <c r="G12" s="20"/>
      <c r="H12" s="20"/>
      <c r="I12" s="20"/>
      <c r="J12" s="20"/>
      <c r="K12" s="20"/>
    </row>
    <row r="13" spans="1:11" ht="15.75" customHeight="1" x14ac:dyDescent="0.3">
      <c r="A13" s="26" t="s">
        <v>108</v>
      </c>
      <c r="B13" s="30">
        <v>0.185</v>
      </c>
      <c r="C13" s="28" t="s">
        <v>96</v>
      </c>
      <c r="D13" s="29" t="s">
        <v>109</v>
      </c>
      <c r="E13" s="20"/>
      <c r="F13" s="20"/>
      <c r="G13" s="20"/>
      <c r="H13" s="20"/>
      <c r="I13" s="20"/>
      <c r="J13" s="20"/>
      <c r="K13" s="20"/>
    </row>
    <row r="14" spans="1:11" ht="15.75" customHeight="1" x14ac:dyDescent="0.3">
      <c r="A14" s="26" t="s">
        <v>110</v>
      </c>
      <c r="B14" s="30">
        <v>0.19</v>
      </c>
      <c r="C14" s="28" t="s">
        <v>96</v>
      </c>
      <c r="D14" s="29" t="s">
        <v>111</v>
      </c>
      <c r="E14" s="20"/>
      <c r="F14" s="20"/>
      <c r="G14" s="20"/>
      <c r="H14" s="20"/>
      <c r="I14" s="20"/>
      <c r="J14" s="20"/>
      <c r="K14" s="20"/>
    </row>
    <row r="15" spans="1:11" ht="15.75" customHeight="1" x14ac:dyDescent="0.3">
      <c r="A15" s="26" t="s">
        <v>112</v>
      </c>
      <c r="B15" s="30">
        <v>0.2</v>
      </c>
      <c r="C15" s="28" t="s">
        <v>96</v>
      </c>
      <c r="D15" s="29" t="s">
        <v>113</v>
      </c>
      <c r="E15" s="20"/>
      <c r="F15" s="20"/>
      <c r="G15" s="20"/>
      <c r="H15" s="20"/>
      <c r="I15" s="20"/>
      <c r="J15" s="20"/>
      <c r="K15" s="20"/>
    </row>
    <row r="16" spans="1:11" ht="15.75" customHeight="1" x14ac:dyDescent="0.3">
      <c r="A16" s="26" t="s">
        <v>114</v>
      </c>
      <c r="B16" s="30">
        <v>1.6E-2</v>
      </c>
      <c r="C16" s="28" t="s">
        <v>96</v>
      </c>
      <c r="D16" s="29" t="s">
        <v>115</v>
      </c>
      <c r="E16" s="20"/>
      <c r="F16" s="20"/>
      <c r="G16" s="20"/>
      <c r="H16" s="20"/>
      <c r="I16" s="20"/>
      <c r="J16" s="20"/>
      <c r="K16" s="20"/>
    </row>
    <row r="17" spans="1:11" ht="15.75" customHeight="1" x14ac:dyDescent="0.3">
      <c r="A17" s="26" t="s">
        <v>116</v>
      </c>
      <c r="B17" s="30">
        <v>0.03</v>
      </c>
      <c r="C17" s="28" t="s">
        <v>96</v>
      </c>
      <c r="D17" s="29" t="s">
        <v>117</v>
      </c>
      <c r="E17" s="20"/>
      <c r="F17" s="20"/>
      <c r="G17" s="20"/>
      <c r="H17" s="20"/>
      <c r="I17" s="20"/>
      <c r="J17" s="20"/>
      <c r="K17" s="20"/>
    </row>
    <row r="18" spans="1:11" ht="15.75" customHeight="1" x14ac:dyDescent="0.3">
      <c r="A18" s="26" t="s">
        <v>118</v>
      </c>
      <c r="B18" s="30">
        <v>0.05</v>
      </c>
      <c r="C18" s="28" t="s">
        <v>96</v>
      </c>
      <c r="D18" s="29" t="s">
        <v>384</v>
      </c>
      <c r="E18" s="20"/>
      <c r="F18" s="20"/>
      <c r="G18" s="20"/>
      <c r="H18" s="20"/>
      <c r="I18" s="20"/>
      <c r="J18" s="20"/>
      <c r="K18" s="20"/>
    </row>
    <row r="19" spans="1:11" ht="15.75" customHeight="1" x14ac:dyDescent="0.3">
      <c r="A19" s="26" t="s">
        <v>119</v>
      </c>
      <c r="B19" s="30">
        <v>0.25</v>
      </c>
      <c r="C19" s="28" t="s">
        <v>96</v>
      </c>
      <c r="D19" s="29" t="s">
        <v>120</v>
      </c>
      <c r="E19" s="20"/>
      <c r="F19" s="20"/>
      <c r="G19" s="20"/>
      <c r="H19" s="20"/>
      <c r="I19" s="20"/>
      <c r="J19" s="20"/>
      <c r="K19" s="20"/>
    </row>
    <row r="20" spans="1:11" ht="15.75" customHeight="1" x14ac:dyDescent="0.3">
      <c r="A20" s="26" t="s">
        <v>121</v>
      </c>
      <c r="B20" s="30">
        <v>0.105</v>
      </c>
      <c r="C20" s="28" t="s">
        <v>96</v>
      </c>
      <c r="D20" s="29" t="s">
        <v>122</v>
      </c>
      <c r="E20" s="20"/>
      <c r="F20" s="20"/>
      <c r="G20" s="20"/>
      <c r="H20" s="20"/>
      <c r="I20" s="20"/>
      <c r="J20" s="20"/>
      <c r="K20" s="20"/>
    </row>
    <row r="21" spans="1:11" ht="15.75" customHeight="1" x14ac:dyDescent="0.3">
      <c r="A21" s="26" t="s">
        <v>123</v>
      </c>
      <c r="B21" s="30">
        <v>0.05</v>
      </c>
      <c r="C21" s="28" t="s">
        <v>96</v>
      </c>
      <c r="D21" s="29" t="s">
        <v>124</v>
      </c>
      <c r="E21" s="20"/>
      <c r="F21" s="20"/>
      <c r="G21" s="20"/>
      <c r="H21" s="20"/>
      <c r="I21" s="20"/>
      <c r="J21" s="20"/>
      <c r="K21" s="20"/>
    </row>
    <row r="22" spans="1:11" ht="15.75" customHeight="1" x14ac:dyDescent="0.3">
      <c r="A22" s="26" t="s">
        <v>125</v>
      </c>
      <c r="B22" s="27">
        <v>268</v>
      </c>
      <c r="C22" s="28" t="s">
        <v>96</v>
      </c>
      <c r="D22" s="29" t="s">
        <v>383</v>
      </c>
      <c r="E22" s="20"/>
      <c r="F22" s="20"/>
      <c r="G22" s="20"/>
      <c r="H22" s="20"/>
      <c r="I22" s="20"/>
      <c r="J22" s="20"/>
      <c r="K22" s="20"/>
    </row>
    <row r="23" spans="1:11" ht="15.75" customHeight="1" x14ac:dyDescent="0.3">
      <c r="A23" s="26" t="s">
        <v>14</v>
      </c>
      <c r="B23" s="31">
        <v>15.6</v>
      </c>
      <c r="C23" s="28" t="s">
        <v>96</v>
      </c>
      <c r="D23" s="29" t="s">
        <v>126</v>
      </c>
      <c r="E23" s="20"/>
      <c r="F23" s="20"/>
      <c r="G23" s="20"/>
      <c r="H23" s="20"/>
      <c r="I23" s="20"/>
      <c r="J23" s="20"/>
      <c r="K23" s="20"/>
    </row>
    <row r="24" spans="1:11" ht="15.75" customHeight="1" x14ac:dyDescent="0.3">
      <c r="A24" s="26" t="s">
        <v>127</v>
      </c>
      <c r="B24" s="27">
        <v>883</v>
      </c>
      <c r="C24" s="28" t="s">
        <v>96</v>
      </c>
      <c r="D24" s="29" t="s">
        <v>128</v>
      </c>
      <c r="E24" s="20"/>
      <c r="F24" s="20"/>
      <c r="G24" s="20"/>
      <c r="H24" s="20"/>
      <c r="I24" s="20"/>
      <c r="J24" s="20"/>
      <c r="K24" s="20"/>
    </row>
    <row r="25" spans="1:11" ht="19.5" customHeight="1" x14ac:dyDescent="0.3">
      <c r="A25" s="32"/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9.5" customHeight="1" x14ac:dyDescent="0.3">
      <c r="A26" s="157" t="s">
        <v>129</v>
      </c>
      <c r="B26" s="157"/>
      <c r="C26" s="157"/>
      <c r="D26" s="157"/>
      <c r="E26" s="157"/>
      <c r="F26" s="157"/>
      <c r="G26" s="157"/>
      <c r="H26" s="157"/>
      <c r="I26" s="20"/>
      <c r="J26" s="20"/>
      <c r="K26" s="20"/>
    </row>
    <row r="27" spans="1:11" ht="18" customHeight="1" x14ac:dyDescent="0.3">
      <c r="A27" s="23" t="s">
        <v>130</v>
      </c>
      <c r="B27" s="33" t="s">
        <v>131</v>
      </c>
      <c r="C27" s="33" t="s">
        <v>132</v>
      </c>
      <c r="D27" s="33" t="s">
        <v>133</v>
      </c>
      <c r="E27" s="33" t="s">
        <v>134</v>
      </c>
      <c r="F27" s="33" t="s">
        <v>135</v>
      </c>
      <c r="G27" s="33" t="s">
        <v>136</v>
      </c>
      <c r="H27" s="33" t="s">
        <v>137</v>
      </c>
      <c r="I27" s="20"/>
      <c r="J27" s="20"/>
      <c r="K27" s="20"/>
    </row>
    <row r="28" spans="1:11" ht="15.75" customHeight="1" x14ac:dyDescent="0.3">
      <c r="A28" s="34" t="s">
        <v>56</v>
      </c>
      <c r="B28" s="35">
        <f>B7</f>
        <v>1279</v>
      </c>
      <c r="C28" s="14">
        <f>B28*(1+B8)</f>
        <v>1598.75</v>
      </c>
      <c r="D28" s="14">
        <f>C28*(1+B9)</f>
        <v>1950.4749999999999</v>
      </c>
      <c r="E28" s="14">
        <f>D28*(1+B10)</f>
        <v>2301.5604999999996</v>
      </c>
      <c r="F28" s="14">
        <f>E28*(1+B11)</f>
        <v>2646.7945749999994</v>
      </c>
      <c r="G28" s="14">
        <f>F28*(1+B12)</f>
        <v>2964.4099239999996</v>
      </c>
      <c r="H28" s="36" t="s">
        <v>58</v>
      </c>
      <c r="I28" s="20"/>
      <c r="J28" s="20"/>
      <c r="K28" s="20"/>
    </row>
    <row r="29" spans="1:11" ht="15.75" customHeight="1" x14ac:dyDescent="0.3">
      <c r="A29" s="37" t="s">
        <v>138</v>
      </c>
      <c r="B29" s="38" t="s">
        <v>58</v>
      </c>
      <c r="C29" s="12">
        <f>C28/B28-1</f>
        <v>0.25</v>
      </c>
      <c r="D29" s="12">
        <f>D28/C28-1</f>
        <v>0.21999999999999997</v>
      </c>
      <c r="E29" s="12">
        <f>E28/D28-1</f>
        <v>0.17999999999999994</v>
      </c>
      <c r="F29" s="12">
        <f>F28/E28-1</f>
        <v>0.14999999999999991</v>
      </c>
      <c r="G29" s="12">
        <f>G28/F28-1</f>
        <v>0.12000000000000011</v>
      </c>
      <c r="H29" s="38" t="s">
        <v>58</v>
      </c>
      <c r="I29" s="20"/>
      <c r="J29" s="20"/>
      <c r="K29" s="20"/>
    </row>
    <row r="30" spans="1:11" ht="15.75" customHeight="1" x14ac:dyDescent="0.3">
      <c r="A30" s="34" t="s">
        <v>61</v>
      </c>
      <c r="B30" s="10">
        <v>235</v>
      </c>
      <c r="C30" s="14">
        <f>C28*B13</f>
        <v>295.76875000000001</v>
      </c>
      <c r="D30" s="14">
        <f>D28*B14</f>
        <v>370.59024999999997</v>
      </c>
      <c r="E30" s="14">
        <f>E28*B15</f>
        <v>460.31209999999993</v>
      </c>
      <c r="F30" s="14">
        <f>F28*B15</f>
        <v>529.35891499999991</v>
      </c>
      <c r="G30" s="14">
        <f>G28*B15</f>
        <v>592.88198479999994</v>
      </c>
      <c r="H30" s="36" t="s">
        <v>58</v>
      </c>
      <c r="I30" s="20"/>
      <c r="J30" s="20"/>
      <c r="K30" s="20"/>
    </row>
    <row r="31" spans="1:11" ht="15.75" customHeight="1" x14ac:dyDescent="0.3">
      <c r="A31" s="37" t="s">
        <v>139</v>
      </c>
      <c r="B31" s="12">
        <f t="shared" ref="B31:G31" si="0">B30/B28</f>
        <v>0.18373729476153244</v>
      </c>
      <c r="C31" s="12">
        <f t="shared" si="0"/>
        <v>0.185</v>
      </c>
      <c r="D31" s="12">
        <f t="shared" si="0"/>
        <v>0.19</v>
      </c>
      <c r="E31" s="12">
        <f t="shared" si="0"/>
        <v>0.2</v>
      </c>
      <c r="F31" s="12">
        <f t="shared" si="0"/>
        <v>0.2</v>
      </c>
      <c r="G31" s="12">
        <f t="shared" si="0"/>
        <v>0.2</v>
      </c>
      <c r="H31" s="38" t="s">
        <v>58</v>
      </c>
      <c r="I31" s="20"/>
      <c r="J31" s="20"/>
      <c r="K31" s="20"/>
    </row>
    <row r="32" spans="1:11" ht="15.75" customHeight="1" x14ac:dyDescent="0.3">
      <c r="A32" s="37" t="s">
        <v>140</v>
      </c>
      <c r="B32" s="18">
        <f>B28*B16</f>
        <v>20.464000000000002</v>
      </c>
      <c r="C32" s="18">
        <f>C28*B16</f>
        <v>25.580000000000002</v>
      </c>
      <c r="D32" s="18">
        <f>D28*B16</f>
        <v>31.207599999999999</v>
      </c>
      <c r="E32" s="18">
        <f>E28*B16</f>
        <v>36.824967999999991</v>
      </c>
      <c r="F32" s="18">
        <f>F28*B16</f>
        <v>42.348713199999992</v>
      </c>
      <c r="G32" s="18">
        <f>G28*B16</f>
        <v>47.430558783999992</v>
      </c>
      <c r="H32" s="38" t="s">
        <v>58</v>
      </c>
      <c r="I32" s="20"/>
      <c r="J32" s="20"/>
      <c r="K32" s="20"/>
    </row>
    <row r="33" spans="1:11" ht="15.75" customHeight="1" x14ac:dyDescent="0.3">
      <c r="A33" s="34" t="s">
        <v>141</v>
      </c>
      <c r="B33" s="14">
        <f t="shared" ref="B33:G33" si="1">B30-B32</f>
        <v>214.536</v>
      </c>
      <c r="C33" s="14">
        <f t="shared" si="1"/>
        <v>270.18875000000003</v>
      </c>
      <c r="D33" s="14">
        <f t="shared" si="1"/>
        <v>339.38264999999996</v>
      </c>
      <c r="E33" s="14">
        <f t="shared" si="1"/>
        <v>423.48713199999992</v>
      </c>
      <c r="F33" s="14">
        <f t="shared" si="1"/>
        <v>487.01020179999989</v>
      </c>
      <c r="G33" s="14">
        <f t="shared" si="1"/>
        <v>545.45142601599991</v>
      </c>
      <c r="H33" s="39" t="s">
        <v>58</v>
      </c>
      <c r="I33" s="20"/>
      <c r="J33" s="20"/>
      <c r="K33" s="20"/>
    </row>
    <row r="34" spans="1:11" ht="15.75" customHeight="1" x14ac:dyDescent="0.3">
      <c r="A34" s="37" t="s">
        <v>142</v>
      </c>
      <c r="B34" s="18">
        <f>B33*(1-B19)</f>
        <v>160.90199999999999</v>
      </c>
      <c r="C34" s="18">
        <f>C33*(1-B19)</f>
        <v>202.64156250000002</v>
      </c>
      <c r="D34" s="18">
        <f>D33*(1-B19)</f>
        <v>254.53698749999995</v>
      </c>
      <c r="E34" s="18">
        <f>E33*(1-B19)</f>
        <v>317.61534899999992</v>
      </c>
      <c r="F34" s="18">
        <f>F33*(1-B19)</f>
        <v>365.25765134999995</v>
      </c>
      <c r="G34" s="18">
        <f>G33*(1-B19)</f>
        <v>409.08856951199994</v>
      </c>
      <c r="H34" s="38" t="s">
        <v>58</v>
      </c>
      <c r="I34" s="20"/>
      <c r="J34" s="20"/>
      <c r="K34" s="20"/>
    </row>
    <row r="35" spans="1:11" ht="15.75" customHeight="1" x14ac:dyDescent="0.3">
      <c r="A35" s="37" t="s">
        <v>143</v>
      </c>
      <c r="B35" s="18">
        <f t="shared" ref="B35:G35" si="2">B32</f>
        <v>20.464000000000002</v>
      </c>
      <c r="C35" s="18">
        <f t="shared" si="2"/>
        <v>25.580000000000002</v>
      </c>
      <c r="D35" s="18">
        <f t="shared" si="2"/>
        <v>31.207599999999999</v>
      </c>
      <c r="E35" s="18">
        <f t="shared" si="2"/>
        <v>36.824967999999991</v>
      </c>
      <c r="F35" s="18">
        <f t="shared" si="2"/>
        <v>42.348713199999992</v>
      </c>
      <c r="G35" s="18">
        <f t="shared" si="2"/>
        <v>47.430558783999992</v>
      </c>
      <c r="H35" s="38" t="s">
        <v>58</v>
      </c>
      <c r="I35" s="20"/>
      <c r="J35" s="20"/>
      <c r="K35" s="20"/>
    </row>
    <row r="36" spans="1:11" ht="15.75" customHeight="1" x14ac:dyDescent="0.3">
      <c r="A36" s="37" t="s">
        <v>385</v>
      </c>
      <c r="B36" s="18">
        <f>B28*$B$17</f>
        <v>38.369999999999997</v>
      </c>
      <c r="C36" s="18">
        <f t="shared" ref="C36:G36" si="3">C28*$B$17</f>
        <v>47.962499999999999</v>
      </c>
      <c r="D36" s="18">
        <f t="shared" si="3"/>
        <v>58.514249999999997</v>
      </c>
      <c r="E36" s="18">
        <f t="shared" si="3"/>
        <v>69.046814999999981</v>
      </c>
      <c r="F36" s="18">
        <f t="shared" si="3"/>
        <v>79.403837249999981</v>
      </c>
      <c r="G36" s="18">
        <f t="shared" si="3"/>
        <v>88.93229771999998</v>
      </c>
      <c r="H36" s="38" t="s">
        <v>58</v>
      </c>
      <c r="I36" s="20"/>
      <c r="J36" s="20"/>
      <c r="K36" s="20"/>
    </row>
    <row r="37" spans="1:11" ht="15.75" customHeight="1" x14ac:dyDescent="0.3">
      <c r="A37" s="37" t="s">
        <v>144</v>
      </c>
      <c r="B37" s="18">
        <f>B28*B18</f>
        <v>63.95</v>
      </c>
      <c r="C37" s="18">
        <f>C28*B18</f>
        <v>79.9375</v>
      </c>
      <c r="D37" s="18">
        <f>D28*B18</f>
        <v>97.523750000000007</v>
      </c>
      <c r="E37" s="18">
        <f>E28*B18</f>
        <v>115.07802499999998</v>
      </c>
      <c r="F37" s="18">
        <f>F28*B18</f>
        <v>132.33972874999998</v>
      </c>
      <c r="G37" s="18">
        <f>G28*B18</f>
        <v>148.22049619999999</v>
      </c>
      <c r="H37" s="38" t="s">
        <v>58</v>
      </c>
      <c r="I37" s="20"/>
      <c r="J37" s="20"/>
      <c r="K37" s="20"/>
    </row>
    <row r="38" spans="1:11" ht="18" customHeight="1" x14ac:dyDescent="0.3">
      <c r="A38" s="40" t="s">
        <v>145</v>
      </c>
      <c r="B38" s="41">
        <f t="shared" ref="B38:G38" si="4">B34+B35-B36-B37</f>
        <v>79.045999999999978</v>
      </c>
      <c r="C38" s="41">
        <f t="shared" si="4"/>
        <v>100.32156250000003</v>
      </c>
      <c r="D38" s="41">
        <f t="shared" si="4"/>
        <v>129.70658749999996</v>
      </c>
      <c r="E38" s="41">
        <f t="shared" si="4"/>
        <v>170.31547699999999</v>
      </c>
      <c r="F38" s="41">
        <f t="shared" si="4"/>
        <v>195.86279855000001</v>
      </c>
      <c r="G38" s="41">
        <f t="shared" si="4"/>
        <v>219.36633437599991</v>
      </c>
      <c r="H38" s="41">
        <f>G38*(1+B21)/(B20-B21)</f>
        <v>4187.902747178181</v>
      </c>
      <c r="I38" s="20"/>
      <c r="J38" s="20"/>
      <c r="K38" s="20"/>
    </row>
    <row r="39" spans="1:11" ht="15.75" customHeight="1" x14ac:dyDescent="0.3">
      <c r="A39" s="37" t="s">
        <v>146</v>
      </c>
      <c r="B39" s="38" t="s">
        <v>147</v>
      </c>
      <c r="C39" s="42">
        <f>1/(1+B20)^1</f>
        <v>0.90497737556561086</v>
      </c>
      <c r="D39" s="42">
        <f>1/(1+B20)^2</f>
        <v>0.81898405028562071</v>
      </c>
      <c r="E39" s="42">
        <f>1/(1+B20)^3</f>
        <v>0.74116203645757528</v>
      </c>
      <c r="F39" s="42">
        <f>1/(1+B20)^4</f>
        <v>0.67073487462224002</v>
      </c>
      <c r="G39" s="42">
        <f>1/(1+B20)^5</f>
        <v>0.60699988653596382</v>
      </c>
      <c r="H39" s="42">
        <f>1/(1+B20)^5</f>
        <v>0.60699988653596382</v>
      </c>
      <c r="I39" s="20"/>
      <c r="J39" s="20"/>
      <c r="K39" s="20"/>
    </row>
    <row r="40" spans="1:11" ht="15.75" customHeight="1" x14ac:dyDescent="0.3">
      <c r="A40" s="34" t="s">
        <v>148</v>
      </c>
      <c r="B40" s="43" t="s">
        <v>58</v>
      </c>
      <c r="C40" s="14">
        <f t="shared" ref="C40:H40" si="5">C38*C39</f>
        <v>90.788744343891423</v>
      </c>
      <c r="D40" s="14">
        <f t="shared" si="5"/>
        <v>106.22762637947622</v>
      </c>
      <c r="E40" s="14">
        <f t="shared" si="5"/>
        <v>126.23136577356331</v>
      </c>
      <c r="F40" s="14">
        <f t="shared" si="5"/>
        <v>131.37200962859532</v>
      </c>
      <c r="G40" s="14">
        <f t="shared" si="5"/>
        <v>133.15534007604225</v>
      </c>
      <c r="H40" s="14">
        <f t="shared" si="5"/>
        <v>2542.0564923608072</v>
      </c>
      <c r="I40" s="20"/>
      <c r="J40" s="20"/>
      <c r="K40" s="20"/>
    </row>
    <row r="41" spans="1:11" ht="1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ht="19.5" customHeight="1" x14ac:dyDescent="0.3">
      <c r="A42" s="154" t="s">
        <v>149</v>
      </c>
      <c r="B42" s="154"/>
      <c r="C42" s="154"/>
      <c r="D42" s="154"/>
      <c r="E42" s="154"/>
      <c r="F42" s="20"/>
      <c r="G42" s="20"/>
      <c r="H42" s="20"/>
      <c r="I42" s="20"/>
      <c r="J42" s="20"/>
      <c r="K42" s="20"/>
    </row>
    <row r="43" spans="1:11" ht="18" customHeight="1" x14ac:dyDescent="0.3">
      <c r="A43" s="44" t="s">
        <v>150</v>
      </c>
      <c r="B43" s="45">
        <f>SUM(C40:G40)</f>
        <v>587.77508620156846</v>
      </c>
      <c r="C43" s="20"/>
      <c r="D43" s="20"/>
      <c r="E43" s="20"/>
      <c r="F43" s="20"/>
      <c r="G43" s="20"/>
      <c r="H43" s="20"/>
      <c r="I43" s="20"/>
      <c r="J43" s="20"/>
      <c r="K43" s="20"/>
    </row>
    <row r="44" spans="1:11" ht="18" customHeight="1" x14ac:dyDescent="0.3">
      <c r="A44" s="44" t="s">
        <v>151</v>
      </c>
      <c r="B44" s="45">
        <f>H40</f>
        <v>2542.0564923608072</v>
      </c>
      <c r="C44" s="20"/>
      <c r="D44" s="20"/>
      <c r="E44" s="20"/>
      <c r="F44" s="20"/>
      <c r="G44" s="20"/>
      <c r="H44" s="20"/>
      <c r="I44" s="20"/>
      <c r="J44" s="20"/>
      <c r="K44" s="20"/>
    </row>
    <row r="45" spans="1:11" ht="18" customHeight="1" x14ac:dyDescent="0.3">
      <c r="A45" s="46" t="s">
        <v>152</v>
      </c>
      <c r="B45" s="41">
        <f>B43+B44</f>
        <v>3129.8315785623754</v>
      </c>
      <c r="C45" s="20"/>
      <c r="D45" s="20"/>
      <c r="E45" s="20"/>
      <c r="F45" s="20"/>
      <c r="G45" s="20"/>
      <c r="H45" s="20"/>
      <c r="I45" s="20"/>
      <c r="J45" s="20"/>
      <c r="K45" s="20"/>
    </row>
    <row r="46" spans="1:11" ht="18" customHeight="1" x14ac:dyDescent="0.3">
      <c r="A46" s="47" t="s">
        <v>153</v>
      </c>
      <c r="B46" s="18">
        <f>B22</f>
        <v>268</v>
      </c>
      <c r="C46" s="20"/>
      <c r="D46" s="20"/>
      <c r="E46" s="20"/>
      <c r="F46" s="20"/>
      <c r="G46" s="20"/>
      <c r="H46" s="20"/>
      <c r="I46" s="20"/>
      <c r="J46" s="20"/>
      <c r="K46" s="20"/>
    </row>
    <row r="47" spans="1:11" ht="18" customHeight="1" x14ac:dyDescent="0.3">
      <c r="A47" s="46" t="s">
        <v>154</v>
      </c>
      <c r="B47" s="41">
        <f>B45+B46</f>
        <v>3397.8315785623754</v>
      </c>
      <c r="C47" s="20"/>
      <c r="D47" s="20"/>
      <c r="E47" s="20"/>
      <c r="F47" s="20"/>
      <c r="G47" s="20"/>
      <c r="H47" s="20"/>
      <c r="I47" s="20"/>
      <c r="J47" s="20"/>
      <c r="K47" s="20"/>
    </row>
    <row r="48" spans="1:11" ht="18" customHeight="1" x14ac:dyDescent="0.3">
      <c r="A48" s="47" t="s">
        <v>155</v>
      </c>
      <c r="B48" s="48">
        <f>B23</f>
        <v>15.6</v>
      </c>
      <c r="C48" s="20"/>
      <c r="D48" s="20"/>
      <c r="E48" s="20"/>
      <c r="F48" s="20"/>
      <c r="G48" s="20"/>
      <c r="H48" s="20"/>
      <c r="I48" s="20"/>
      <c r="J48" s="20"/>
      <c r="K48" s="20"/>
    </row>
    <row r="49" spans="1:11" ht="18" customHeight="1" x14ac:dyDescent="0.3">
      <c r="A49" s="49" t="s">
        <v>156</v>
      </c>
      <c r="B49" s="50">
        <f>B47/B48</f>
        <v>217.80971657451124</v>
      </c>
      <c r="C49" s="20"/>
      <c r="D49" s="20"/>
      <c r="E49" s="20"/>
      <c r="F49" s="20"/>
      <c r="G49" s="20"/>
      <c r="H49" s="20"/>
      <c r="I49" s="20"/>
      <c r="J49" s="20"/>
      <c r="K49" s="20"/>
    </row>
    <row r="50" spans="1:11" ht="18" customHeight="1" x14ac:dyDescent="0.3">
      <c r="A50" s="47" t="s">
        <v>127</v>
      </c>
      <c r="B50" s="18">
        <f>B24</f>
        <v>883</v>
      </c>
      <c r="C50" s="20"/>
      <c r="D50" s="20"/>
      <c r="E50" s="20"/>
      <c r="F50" s="20"/>
      <c r="G50" s="20"/>
      <c r="H50" s="20"/>
      <c r="I50" s="20"/>
      <c r="J50" s="20"/>
      <c r="K50" s="20"/>
    </row>
    <row r="51" spans="1:11" ht="18" customHeight="1" x14ac:dyDescent="0.3">
      <c r="A51" s="47" t="s">
        <v>157</v>
      </c>
      <c r="B51" s="12">
        <f>B50/B49-1</f>
        <v>3.0539972866542513</v>
      </c>
      <c r="C51" s="20"/>
      <c r="D51" s="20"/>
      <c r="E51" s="20"/>
      <c r="F51" s="20"/>
      <c r="G51" s="20"/>
      <c r="H51" s="20"/>
      <c r="I51" s="20"/>
      <c r="J51" s="20"/>
      <c r="K51" s="20"/>
    </row>
    <row r="52" spans="1:11" ht="25.5" customHeight="1" x14ac:dyDescent="0.3">
      <c r="A52" s="158" t="s">
        <v>158</v>
      </c>
      <c r="B52" s="158"/>
      <c r="C52" s="158"/>
      <c r="D52" s="158"/>
      <c r="E52" s="158"/>
      <c r="F52" s="20"/>
      <c r="G52" s="20"/>
      <c r="H52" s="20"/>
      <c r="I52" s="20"/>
      <c r="J52" s="20"/>
      <c r="K52" s="20"/>
    </row>
    <row r="53" spans="1:11" ht="1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19.5" customHeight="1" x14ac:dyDescent="0.3">
      <c r="A54" s="154" t="s">
        <v>159</v>
      </c>
      <c r="B54" s="154"/>
      <c r="C54" s="154"/>
      <c r="D54" s="154"/>
      <c r="E54" s="154"/>
      <c r="F54" s="154"/>
      <c r="G54" s="154"/>
      <c r="H54" s="154"/>
      <c r="I54" s="20"/>
      <c r="J54" s="20"/>
      <c r="K54" s="20"/>
    </row>
    <row r="55" spans="1:11" ht="25.5" customHeight="1" x14ac:dyDescent="0.3">
      <c r="A55" s="155" t="s">
        <v>160</v>
      </c>
      <c r="B55" s="155"/>
      <c r="C55" s="155"/>
      <c r="D55" s="155"/>
      <c r="E55" s="155"/>
      <c r="F55" s="155"/>
      <c r="G55" s="155"/>
      <c r="H55" s="155"/>
      <c r="I55" s="20"/>
      <c r="J55" s="20"/>
      <c r="K55" s="20"/>
    </row>
    <row r="56" spans="1:11" ht="15.75" customHeight="1" x14ac:dyDescent="0.3">
      <c r="A56" s="23" t="s">
        <v>161</v>
      </c>
      <c r="B56" s="51" t="s">
        <v>4</v>
      </c>
      <c r="C56" s="23" t="s">
        <v>162</v>
      </c>
      <c r="D56" s="21"/>
      <c r="E56" s="20"/>
      <c r="F56" s="20"/>
      <c r="G56" s="20"/>
      <c r="H56" s="20"/>
      <c r="I56" s="20"/>
      <c r="J56" s="20"/>
      <c r="K56" s="20"/>
    </row>
    <row r="57" spans="1:11" ht="15.75" customHeight="1" x14ac:dyDescent="0.3">
      <c r="A57" s="26" t="s">
        <v>163</v>
      </c>
      <c r="B57" s="45">
        <f>D28</f>
        <v>1950.4749999999999</v>
      </c>
      <c r="C57" s="29" t="s">
        <v>164</v>
      </c>
      <c r="D57" s="21"/>
      <c r="E57" s="20"/>
      <c r="F57" s="20"/>
      <c r="G57" s="20"/>
      <c r="H57" s="20"/>
      <c r="I57" s="20"/>
      <c r="J57" s="20"/>
      <c r="K57" s="20"/>
    </row>
    <row r="58" spans="1:11" ht="15.75" customHeight="1" x14ac:dyDescent="0.3">
      <c r="A58" s="26" t="s">
        <v>165</v>
      </c>
      <c r="B58" s="45">
        <f>D30</f>
        <v>370.59024999999997</v>
      </c>
      <c r="C58" s="29" t="s">
        <v>166</v>
      </c>
      <c r="D58" s="21"/>
      <c r="E58" s="20"/>
      <c r="F58" s="20"/>
      <c r="G58" s="20"/>
      <c r="H58" s="20"/>
      <c r="I58" s="20"/>
      <c r="J58" s="20"/>
      <c r="K58" s="20"/>
    </row>
    <row r="59" spans="1:11" ht="15.75" customHeight="1" x14ac:dyDescent="0.3">
      <c r="A59" s="26" t="s">
        <v>167</v>
      </c>
      <c r="B59" s="27">
        <v>255</v>
      </c>
      <c r="C59" s="29" t="s">
        <v>386</v>
      </c>
      <c r="D59" s="21"/>
      <c r="E59" s="20"/>
      <c r="F59" s="20"/>
      <c r="G59" s="20"/>
      <c r="H59" s="20"/>
      <c r="I59" s="20"/>
      <c r="J59" s="20"/>
      <c r="K59" s="20"/>
    </row>
    <row r="60" spans="1:11" ht="15.75" customHeight="1" x14ac:dyDescent="0.3">
      <c r="A60" s="26" t="s">
        <v>168</v>
      </c>
      <c r="B60" s="52">
        <f>B59/B23</f>
        <v>16.346153846153847</v>
      </c>
      <c r="C60" s="29"/>
      <c r="D60" s="21"/>
      <c r="E60" s="20"/>
      <c r="F60" s="20"/>
      <c r="G60" s="20"/>
      <c r="H60" s="20"/>
      <c r="I60" s="20"/>
      <c r="J60" s="20"/>
      <c r="K60" s="20"/>
    </row>
    <row r="61" spans="1:11" ht="15.75" customHeight="1" x14ac:dyDescent="0.3">
      <c r="A61" s="21"/>
      <c r="B61" s="53"/>
      <c r="C61" s="21"/>
      <c r="D61" s="21"/>
      <c r="E61" s="20"/>
      <c r="F61" s="20"/>
      <c r="G61" s="20"/>
      <c r="H61" s="20"/>
      <c r="I61" s="20"/>
      <c r="J61" s="20"/>
      <c r="K61" s="20"/>
    </row>
    <row r="62" spans="1:11" ht="15.75" customHeight="1" x14ac:dyDescent="0.3">
      <c r="A62" s="23" t="s">
        <v>169</v>
      </c>
      <c r="B62" s="51" t="s">
        <v>4</v>
      </c>
      <c r="C62" s="23" t="s">
        <v>170</v>
      </c>
      <c r="D62" s="21"/>
      <c r="E62" s="20"/>
      <c r="F62" s="20"/>
      <c r="G62" s="20"/>
      <c r="H62" s="20"/>
      <c r="I62" s="20"/>
      <c r="J62" s="20"/>
      <c r="K62" s="20"/>
    </row>
    <row r="63" spans="1:11" ht="15.75" customHeight="1" x14ac:dyDescent="0.3">
      <c r="A63" s="26" t="s">
        <v>171</v>
      </c>
      <c r="B63" s="54">
        <v>55</v>
      </c>
      <c r="C63" s="29" t="s">
        <v>172</v>
      </c>
      <c r="D63" s="21"/>
      <c r="E63" s="20"/>
      <c r="F63" s="20"/>
      <c r="G63" s="20"/>
      <c r="H63" s="20"/>
      <c r="I63" s="20"/>
      <c r="J63" s="20"/>
      <c r="K63" s="20"/>
    </row>
    <row r="64" spans="1:11" ht="15.75" customHeight="1" x14ac:dyDescent="0.3">
      <c r="A64" s="26" t="s">
        <v>173</v>
      </c>
      <c r="B64" s="55">
        <v>40</v>
      </c>
      <c r="C64" s="29" t="s">
        <v>174</v>
      </c>
      <c r="D64" s="21" t="s">
        <v>175</v>
      </c>
      <c r="E64" s="20"/>
      <c r="F64" s="20"/>
      <c r="G64" s="20"/>
      <c r="H64" s="20"/>
      <c r="I64" s="20"/>
      <c r="J64" s="20"/>
      <c r="K64" s="20"/>
    </row>
    <row r="65" spans="1:11" ht="1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ht="18" customHeight="1" x14ac:dyDescent="0.3">
      <c r="A66" s="23" t="s">
        <v>176</v>
      </c>
      <c r="B66" s="56" t="s">
        <v>177</v>
      </c>
      <c r="C66" s="56" t="s">
        <v>178</v>
      </c>
      <c r="D66" s="56" t="s">
        <v>179</v>
      </c>
      <c r="E66" s="56" t="s">
        <v>180</v>
      </c>
      <c r="F66" s="20"/>
      <c r="G66" s="20"/>
      <c r="H66" s="20"/>
      <c r="I66" s="20"/>
      <c r="J66" s="20"/>
      <c r="K66" s="20"/>
    </row>
    <row r="67" spans="1:11" ht="18" customHeight="1" x14ac:dyDescent="0.3">
      <c r="A67" s="34" t="s">
        <v>181</v>
      </c>
      <c r="B67" s="14">
        <f>B60*B63*B23</f>
        <v>14025</v>
      </c>
      <c r="C67" s="57">
        <f>B60*B63</f>
        <v>899.03846153846155</v>
      </c>
      <c r="D67" s="30">
        <v>0.5</v>
      </c>
      <c r="E67" s="14">
        <f>C67*D67</f>
        <v>449.51923076923077</v>
      </c>
      <c r="F67" s="20"/>
      <c r="G67" s="20"/>
      <c r="H67" s="20"/>
      <c r="I67" s="20"/>
      <c r="J67" s="20"/>
      <c r="K67" s="20"/>
    </row>
    <row r="68" spans="1:11" ht="18" customHeight="1" x14ac:dyDescent="0.3">
      <c r="A68" s="58" t="s">
        <v>182</v>
      </c>
      <c r="B68" s="59">
        <f>B58*B64+B22</f>
        <v>15091.609999999999</v>
      </c>
      <c r="C68" s="60">
        <f>B68/B23</f>
        <v>967.41089743589737</v>
      </c>
      <c r="D68" s="30">
        <v>0.5</v>
      </c>
      <c r="E68" s="59">
        <f>C68*D68</f>
        <v>483.70544871794868</v>
      </c>
      <c r="F68" s="20"/>
      <c r="G68" s="20"/>
      <c r="H68" s="20"/>
      <c r="I68" s="20"/>
      <c r="J68" s="20"/>
      <c r="K68" s="20"/>
    </row>
    <row r="69" spans="1:11" ht="19.5" customHeight="1" x14ac:dyDescent="0.3">
      <c r="A69" s="32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ht="24" customHeight="1" x14ac:dyDescent="0.3">
      <c r="A70" s="156" t="s">
        <v>183</v>
      </c>
      <c r="B70" s="156"/>
      <c r="C70" s="61">
        <f>SUM(E67:E68)/SUM(D67:D68)</f>
        <v>933.2246794871794</v>
      </c>
      <c r="D70" s="62"/>
      <c r="E70" s="62"/>
      <c r="F70" s="62"/>
      <c r="G70" s="20"/>
      <c r="H70" s="20"/>
      <c r="I70" s="20"/>
      <c r="J70" s="20"/>
      <c r="K70" s="20"/>
    </row>
    <row r="71" spans="1:11" ht="18" customHeight="1" x14ac:dyDescent="0.3">
      <c r="A71" s="47" t="s">
        <v>127</v>
      </c>
      <c r="B71" s="22"/>
      <c r="C71" s="18">
        <f>B24</f>
        <v>883</v>
      </c>
      <c r="D71" s="22"/>
      <c r="E71" s="22"/>
      <c r="F71" s="22"/>
      <c r="G71" s="20"/>
      <c r="H71" s="20"/>
      <c r="I71" s="20"/>
      <c r="J71" s="20"/>
      <c r="K71" s="20"/>
    </row>
    <row r="72" spans="1:11" ht="19.5" customHeight="1" x14ac:dyDescent="0.3">
      <c r="A72" s="63" t="s">
        <v>184</v>
      </c>
      <c r="B72" s="22"/>
      <c r="C72" s="64">
        <f>C70/C71-1</f>
        <v>5.6879591718209888E-2</v>
      </c>
      <c r="D72" s="22"/>
      <c r="E72" s="22"/>
      <c r="F72" s="22"/>
      <c r="G72" s="20"/>
      <c r="H72" s="20"/>
      <c r="I72" s="20"/>
      <c r="J72" s="20"/>
      <c r="K72" s="20"/>
    </row>
    <row r="73" spans="1:11" ht="18" customHeight="1" x14ac:dyDescent="0.3">
      <c r="A73" s="62"/>
      <c r="B73" s="22"/>
      <c r="C73" s="22"/>
      <c r="D73" s="22"/>
      <c r="E73" s="22"/>
      <c r="F73" s="22"/>
      <c r="G73" s="20"/>
      <c r="H73" s="20"/>
      <c r="I73" s="20"/>
      <c r="J73" s="20"/>
      <c r="K73" s="20"/>
    </row>
    <row r="74" spans="1:11" ht="19.5" customHeight="1" x14ac:dyDescent="0.3">
      <c r="A74" s="157" t="s">
        <v>185</v>
      </c>
      <c r="B74" s="157"/>
      <c r="C74" s="157"/>
      <c r="D74" s="157"/>
      <c r="E74" s="22"/>
      <c r="F74" s="22"/>
      <c r="G74" s="20"/>
      <c r="H74" s="20"/>
      <c r="I74" s="20"/>
      <c r="J74" s="20"/>
      <c r="K74" s="20"/>
    </row>
    <row r="75" spans="1:11" ht="15.75" customHeight="1" x14ac:dyDescent="0.3">
      <c r="A75" s="26" t="s">
        <v>186</v>
      </c>
      <c r="B75" s="30">
        <v>7.0000000000000007E-2</v>
      </c>
      <c r="C75" s="65" t="s">
        <v>187</v>
      </c>
      <c r="D75" s="22"/>
      <c r="E75" s="22"/>
      <c r="F75" s="22"/>
      <c r="G75" s="20"/>
      <c r="H75" s="20"/>
      <c r="I75" s="20"/>
      <c r="J75" s="20"/>
      <c r="K75" s="20"/>
    </row>
    <row r="76" spans="1:11" ht="15.75" customHeight="1" x14ac:dyDescent="0.3">
      <c r="A76" s="26" t="s">
        <v>188</v>
      </c>
      <c r="B76" s="30">
        <v>0.08</v>
      </c>
      <c r="C76" s="29" t="s">
        <v>189</v>
      </c>
      <c r="D76" s="20"/>
      <c r="E76" s="20"/>
      <c r="F76" s="20"/>
      <c r="G76" s="20"/>
      <c r="H76" s="20"/>
      <c r="I76" s="20"/>
      <c r="J76" s="20"/>
      <c r="K76" s="20"/>
    </row>
    <row r="77" spans="1:11" ht="15.75" customHeight="1" x14ac:dyDescent="0.3">
      <c r="A77" s="26" t="s">
        <v>190</v>
      </c>
      <c r="B77" s="66">
        <v>0.9</v>
      </c>
      <c r="C77" s="29" t="s">
        <v>191</v>
      </c>
      <c r="D77" s="20"/>
      <c r="E77" s="20"/>
      <c r="F77" s="20"/>
      <c r="G77" s="20"/>
      <c r="H77" s="20"/>
      <c r="I77" s="20"/>
      <c r="J77" s="20"/>
      <c r="K77" s="20"/>
    </row>
    <row r="78" spans="1:11" ht="15.75" customHeight="1" x14ac:dyDescent="0.3">
      <c r="A78" s="26" t="s">
        <v>192</v>
      </c>
      <c r="B78" s="67">
        <f>B75+B77*B76</f>
        <v>0.14200000000000002</v>
      </c>
      <c r="C78" s="29" t="s">
        <v>193</v>
      </c>
      <c r="D78" s="20"/>
      <c r="E78" s="20"/>
      <c r="F78" s="20"/>
      <c r="G78" s="20"/>
      <c r="H78" s="20"/>
      <c r="I78" s="20"/>
      <c r="J78" s="20"/>
      <c r="K78" s="20"/>
    </row>
    <row r="79" spans="1:11" ht="15.75" customHeight="1" x14ac:dyDescent="0.3">
      <c r="A79" s="26" t="s">
        <v>194</v>
      </c>
      <c r="B79" s="30">
        <v>8.5000000000000006E-2</v>
      </c>
      <c r="C79" s="29" t="s">
        <v>195</v>
      </c>
      <c r="D79" s="20"/>
      <c r="E79" s="20"/>
      <c r="F79" s="20"/>
      <c r="G79" s="20"/>
      <c r="H79" s="20"/>
      <c r="I79" s="20"/>
      <c r="J79" s="20"/>
      <c r="K79" s="20"/>
    </row>
    <row r="80" spans="1:11" ht="15.75" customHeight="1" x14ac:dyDescent="0.3">
      <c r="A80" s="26" t="s">
        <v>196</v>
      </c>
      <c r="B80" s="67">
        <f>B79*(1-B19)</f>
        <v>6.3750000000000001E-2</v>
      </c>
      <c r="C80" s="29" t="s">
        <v>197</v>
      </c>
      <c r="D80" s="20"/>
      <c r="E80" s="20"/>
      <c r="F80" s="20"/>
      <c r="G80" s="20"/>
      <c r="H80" s="20"/>
      <c r="I80" s="20"/>
      <c r="J80" s="20"/>
      <c r="K80" s="20"/>
    </row>
    <row r="81" spans="1:11" ht="15.75" customHeight="1" x14ac:dyDescent="0.3">
      <c r="A81" s="26" t="s">
        <v>198</v>
      </c>
      <c r="B81" s="30">
        <v>0.05</v>
      </c>
      <c r="C81" s="29" t="s">
        <v>199</v>
      </c>
      <c r="D81" s="20"/>
      <c r="E81" s="20"/>
      <c r="F81" s="20"/>
      <c r="G81" s="20"/>
      <c r="H81" s="20"/>
      <c r="I81" s="20"/>
      <c r="J81" s="20"/>
      <c r="K81" s="20"/>
    </row>
    <row r="82" spans="1:11" ht="15.75" customHeight="1" x14ac:dyDescent="0.3">
      <c r="A82" s="26" t="s">
        <v>200</v>
      </c>
      <c r="B82" s="67">
        <f>1-B81</f>
        <v>0.95</v>
      </c>
      <c r="C82" s="29"/>
      <c r="D82" s="20"/>
      <c r="E82" s="20"/>
      <c r="F82" s="20"/>
      <c r="G82" s="20"/>
      <c r="H82" s="20"/>
      <c r="I82" s="20"/>
      <c r="J82" s="20"/>
      <c r="K82" s="20"/>
    </row>
    <row r="83" spans="1:11" ht="15.75" customHeight="1" x14ac:dyDescent="0.3">
      <c r="A83" s="26" t="s">
        <v>201</v>
      </c>
      <c r="B83" s="67">
        <f>B78*B82+B80*B81</f>
        <v>0.13808750000000003</v>
      </c>
      <c r="C83" s="29" t="s">
        <v>202</v>
      </c>
      <c r="D83" s="20"/>
      <c r="E83" s="20"/>
      <c r="F83" s="20"/>
      <c r="G83" s="20"/>
      <c r="H83" s="20"/>
      <c r="I83" s="20"/>
      <c r="J83" s="20"/>
      <c r="K83" s="20"/>
    </row>
    <row r="84" spans="1:11" ht="15.75" customHeight="1" x14ac:dyDescent="0.3">
      <c r="A84" s="26" t="s">
        <v>203</v>
      </c>
      <c r="B84" s="68" t="s">
        <v>204</v>
      </c>
      <c r="C84" s="69" t="s">
        <v>205</v>
      </c>
      <c r="D84" s="20"/>
      <c r="E84" s="20"/>
      <c r="F84" s="20"/>
      <c r="G84" s="20"/>
      <c r="H84" s="20"/>
      <c r="I84" s="20"/>
      <c r="J84" s="20"/>
      <c r="K84" s="20"/>
    </row>
    <row r="85" spans="1:11" ht="15" customHeight="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ht="19.5" customHeight="1" x14ac:dyDescent="0.3">
      <c r="A86" s="154" t="s">
        <v>206</v>
      </c>
      <c r="B86" s="154"/>
      <c r="C86" s="154"/>
      <c r="D86" s="154"/>
      <c r="E86" s="154"/>
      <c r="F86" s="154"/>
      <c r="G86" s="154"/>
      <c r="H86" s="154"/>
      <c r="I86" s="154"/>
      <c r="J86" s="20"/>
      <c r="K86" s="20"/>
    </row>
    <row r="87" spans="1:11" ht="18" customHeight="1" x14ac:dyDescent="0.3">
      <c r="A87" s="56" t="s">
        <v>207</v>
      </c>
      <c r="B87" s="127" t="s">
        <v>208</v>
      </c>
      <c r="C87" s="127" t="s">
        <v>209</v>
      </c>
      <c r="D87" s="127">
        <v>16</v>
      </c>
      <c r="E87" s="127">
        <v>16.350000000000001</v>
      </c>
      <c r="F87" s="127" t="s">
        <v>210</v>
      </c>
      <c r="G87" s="127" t="s">
        <v>211</v>
      </c>
      <c r="H87" s="127" t="s">
        <v>212</v>
      </c>
      <c r="I87" s="20"/>
      <c r="J87" s="20"/>
      <c r="K87" s="20"/>
    </row>
    <row r="88" spans="1:11" ht="15.75" customHeight="1" x14ac:dyDescent="0.3">
      <c r="A88" s="128">
        <v>40</v>
      </c>
      <c r="B88" s="70">
        <f>$A$88*B87</f>
        <v>520</v>
      </c>
      <c r="C88" s="70">
        <f t="shared" ref="C88:H88" si="6">$A$88*C87</f>
        <v>600</v>
      </c>
      <c r="D88" s="70">
        <f t="shared" si="6"/>
        <v>640</v>
      </c>
      <c r="E88" s="70">
        <f t="shared" si="6"/>
        <v>654</v>
      </c>
      <c r="F88" s="70">
        <f t="shared" si="6"/>
        <v>760</v>
      </c>
      <c r="G88" s="70">
        <f t="shared" si="6"/>
        <v>840</v>
      </c>
      <c r="H88" s="70">
        <f t="shared" si="6"/>
        <v>920</v>
      </c>
      <c r="I88" s="20"/>
      <c r="J88" s="20"/>
      <c r="K88" s="20"/>
    </row>
    <row r="89" spans="1:11" ht="15.75" customHeight="1" x14ac:dyDescent="0.3">
      <c r="A89" s="128">
        <v>45</v>
      </c>
      <c r="B89" s="70">
        <f>$A$89*B87</f>
        <v>585</v>
      </c>
      <c r="C89" s="70">
        <f t="shared" ref="C89:H89" si="7">$A$89*C87</f>
        <v>675</v>
      </c>
      <c r="D89" s="70">
        <f t="shared" si="7"/>
        <v>720</v>
      </c>
      <c r="E89" s="70">
        <f t="shared" si="7"/>
        <v>735.75000000000011</v>
      </c>
      <c r="F89" s="70">
        <f t="shared" si="7"/>
        <v>855</v>
      </c>
      <c r="G89" s="70">
        <f t="shared" si="7"/>
        <v>945</v>
      </c>
      <c r="H89" s="70">
        <f t="shared" si="7"/>
        <v>1035</v>
      </c>
      <c r="I89" s="20"/>
      <c r="J89" s="20"/>
      <c r="K89" s="20"/>
    </row>
    <row r="90" spans="1:11" ht="15.75" customHeight="1" x14ac:dyDescent="0.3">
      <c r="A90" s="128">
        <v>50</v>
      </c>
      <c r="B90" s="70">
        <f>$A$90*B87</f>
        <v>650</v>
      </c>
      <c r="C90" s="70">
        <f t="shared" ref="C90:H90" si="8">$A$90*C87</f>
        <v>750</v>
      </c>
      <c r="D90" s="70">
        <f t="shared" si="8"/>
        <v>800</v>
      </c>
      <c r="E90" s="70">
        <f t="shared" si="8"/>
        <v>817.50000000000011</v>
      </c>
      <c r="F90" s="70">
        <f t="shared" si="8"/>
        <v>950</v>
      </c>
      <c r="G90" s="70">
        <f t="shared" si="8"/>
        <v>1050</v>
      </c>
      <c r="H90" s="70">
        <f t="shared" si="8"/>
        <v>1150</v>
      </c>
      <c r="I90" s="20"/>
      <c r="J90" s="20"/>
      <c r="K90" s="20"/>
    </row>
    <row r="91" spans="1:11" ht="15.75" customHeight="1" x14ac:dyDescent="0.3">
      <c r="A91" s="128">
        <v>55</v>
      </c>
      <c r="B91" s="70">
        <f>$A$91*B87</f>
        <v>715</v>
      </c>
      <c r="C91" s="70">
        <f t="shared" ref="C91:H91" si="9">$A$91*C87</f>
        <v>825</v>
      </c>
      <c r="D91" s="70">
        <f t="shared" si="9"/>
        <v>880</v>
      </c>
      <c r="E91" s="129">
        <f t="shared" si="9"/>
        <v>899.25000000000011</v>
      </c>
      <c r="F91" s="70">
        <f t="shared" si="9"/>
        <v>1045</v>
      </c>
      <c r="G91" s="70">
        <f t="shared" si="9"/>
        <v>1155</v>
      </c>
      <c r="H91" s="70">
        <f t="shared" si="9"/>
        <v>1265</v>
      </c>
      <c r="I91" s="20"/>
      <c r="J91" s="20"/>
      <c r="K91" s="20"/>
    </row>
    <row r="92" spans="1:11" ht="15.75" customHeight="1" x14ac:dyDescent="0.3">
      <c r="A92" s="128">
        <v>60</v>
      </c>
      <c r="B92" s="70">
        <f>$A$92*B87</f>
        <v>780</v>
      </c>
      <c r="C92" s="70">
        <f t="shared" ref="C92:H92" si="10">$A$92*C87</f>
        <v>900</v>
      </c>
      <c r="D92" s="70">
        <f t="shared" si="10"/>
        <v>960</v>
      </c>
      <c r="E92" s="70">
        <f t="shared" si="10"/>
        <v>981.00000000000011</v>
      </c>
      <c r="F92" s="70">
        <f t="shared" si="10"/>
        <v>1140</v>
      </c>
      <c r="G92" s="70">
        <f t="shared" si="10"/>
        <v>1260</v>
      </c>
      <c r="H92" s="70">
        <f t="shared" si="10"/>
        <v>1380</v>
      </c>
      <c r="I92" s="20"/>
      <c r="J92" s="20"/>
      <c r="K92" s="20"/>
    </row>
    <row r="93" spans="1:11" ht="15.75" customHeight="1" x14ac:dyDescent="0.3">
      <c r="A93" s="128">
        <v>65</v>
      </c>
      <c r="B93" s="70">
        <f>$A$93*B87</f>
        <v>845</v>
      </c>
      <c r="C93" s="70">
        <f t="shared" ref="C93:H93" si="11">$A$93*C87</f>
        <v>975</v>
      </c>
      <c r="D93" s="70">
        <f t="shared" si="11"/>
        <v>1040</v>
      </c>
      <c r="E93" s="70">
        <f t="shared" si="11"/>
        <v>1062.75</v>
      </c>
      <c r="F93" s="70">
        <f t="shared" si="11"/>
        <v>1235</v>
      </c>
      <c r="G93" s="70">
        <f t="shared" si="11"/>
        <v>1365</v>
      </c>
      <c r="H93" s="70">
        <f t="shared" si="11"/>
        <v>1495</v>
      </c>
      <c r="I93" s="20"/>
      <c r="J93" s="20"/>
      <c r="K93" s="20"/>
    </row>
    <row r="94" spans="1:11" ht="15.75" customHeight="1" x14ac:dyDescent="0.3">
      <c r="A94" s="128">
        <v>70</v>
      </c>
      <c r="B94" s="71">
        <f>$A$94*B87</f>
        <v>910</v>
      </c>
      <c r="C94" s="71">
        <f t="shared" ref="C94:H94" si="12">$A$94*C87</f>
        <v>1050</v>
      </c>
      <c r="D94" s="71">
        <f t="shared" si="12"/>
        <v>1120</v>
      </c>
      <c r="E94" s="71">
        <f t="shared" si="12"/>
        <v>1144.5</v>
      </c>
      <c r="F94" s="71">
        <f t="shared" si="12"/>
        <v>1330</v>
      </c>
      <c r="G94" s="71">
        <f t="shared" si="12"/>
        <v>1470</v>
      </c>
      <c r="H94" s="71">
        <f t="shared" si="12"/>
        <v>1610</v>
      </c>
      <c r="I94" s="20"/>
      <c r="J94" s="20"/>
      <c r="K94" s="20"/>
    </row>
    <row r="95" spans="1:11" ht="15" customHeight="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ht="19.5" customHeight="1" x14ac:dyDescent="0.3">
      <c r="A96" s="153" t="s">
        <v>388</v>
      </c>
      <c r="B96" s="154"/>
      <c r="C96" s="154"/>
      <c r="D96" s="154"/>
      <c r="E96" s="154"/>
      <c r="F96" s="154"/>
      <c r="G96" s="154"/>
      <c r="H96" s="154"/>
      <c r="I96" s="154"/>
      <c r="J96" s="20"/>
      <c r="K96" s="20"/>
    </row>
    <row r="97" spans="1:11" ht="18" customHeight="1" x14ac:dyDescent="0.3">
      <c r="A97" s="56" t="s">
        <v>213</v>
      </c>
      <c r="B97" s="130">
        <v>300</v>
      </c>
      <c r="C97" s="130">
        <v>340</v>
      </c>
      <c r="D97" s="130">
        <v>371</v>
      </c>
      <c r="E97" s="130">
        <v>400</v>
      </c>
      <c r="F97" s="130">
        <v>430</v>
      </c>
      <c r="G97" s="130">
        <v>460</v>
      </c>
      <c r="H97" s="130">
        <v>500</v>
      </c>
      <c r="I97" s="20"/>
      <c r="J97" s="20"/>
      <c r="K97" s="20"/>
    </row>
    <row r="98" spans="1:11" ht="15.75" customHeight="1" x14ac:dyDescent="0.3">
      <c r="A98" s="128">
        <v>28</v>
      </c>
      <c r="B98" s="131">
        <f>($A$98*B97+268)/15.6</f>
        <v>555.64102564102564</v>
      </c>
      <c r="C98" s="131">
        <f t="shared" ref="C98:H98" si="13">($A$98*C97+268)/15.6</f>
        <v>627.43589743589746</v>
      </c>
      <c r="D98" s="131">
        <f t="shared" si="13"/>
        <v>683.07692307692309</v>
      </c>
      <c r="E98" s="131">
        <f t="shared" si="13"/>
        <v>735.1282051282052</v>
      </c>
      <c r="F98" s="131">
        <f t="shared" si="13"/>
        <v>788.97435897435901</v>
      </c>
      <c r="G98" s="131">
        <f t="shared" si="13"/>
        <v>842.82051282051282</v>
      </c>
      <c r="H98" s="131">
        <f t="shared" si="13"/>
        <v>914.61538461538464</v>
      </c>
      <c r="I98" s="20"/>
      <c r="J98" s="20"/>
      <c r="K98" s="20"/>
    </row>
    <row r="99" spans="1:11" ht="15.75" customHeight="1" x14ac:dyDescent="0.3">
      <c r="A99" s="128">
        <v>32</v>
      </c>
      <c r="B99" s="131">
        <f>($A$99*B97+268)/15.6</f>
        <v>632.56410256410254</v>
      </c>
      <c r="C99" s="131">
        <f t="shared" ref="C99:H99" si="14">($A$99*C97+268)/15.6</f>
        <v>714.61538461538464</v>
      </c>
      <c r="D99" s="131">
        <f t="shared" si="14"/>
        <v>778.20512820512818</v>
      </c>
      <c r="E99" s="131">
        <f t="shared" si="14"/>
        <v>837.69230769230774</v>
      </c>
      <c r="F99" s="131">
        <f t="shared" si="14"/>
        <v>899.23076923076928</v>
      </c>
      <c r="G99" s="131">
        <f t="shared" si="14"/>
        <v>960.76923076923083</v>
      </c>
      <c r="H99" s="131">
        <f t="shared" si="14"/>
        <v>1042.8205128205129</v>
      </c>
      <c r="I99" s="20"/>
      <c r="J99" s="20"/>
      <c r="K99" s="20"/>
    </row>
    <row r="100" spans="1:11" ht="15.75" customHeight="1" x14ac:dyDescent="0.3">
      <c r="A100" s="128">
        <v>36</v>
      </c>
      <c r="B100" s="131">
        <f>($A$100*B97+268)/15.6</f>
        <v>709.48717948717956</v>
      </c>
      <c r="C100" s="131">
        <f t="shared" ref="C100:H100" si="15">($A$100*C97+268)/15.6</f>
        <v>801.79487179487182</v>
      </c>
      <c r="D100" s="131">
        <f t="shared" si="15"/>
        <v>873.33333333333337</v>
      </c>
      <c r="E100" s="131">
        <f t="shared" si="15"/>
        <v>940.25641025641028</v>
      </c>
      <c r="F100" s="131">
        <f t="shared" si="15"/>
        <v>1009.4871794871796</v>
      </c>
      <c r="G100" s="131">
        <f t="shared" si="15"/>
        <v>1078.7179487179487</v>
      </c>
      <c r="H100" s="131">
        <f t="shared" si="15"/>
        <v>1171.0256410256411</v>
      </c>
      <c r="I100" s="20"/>
      <c r="J100" s="20"/>
      <c r="K100" s="20"/>
    </row>
    <row r="101" spans="1:11" ht="15.75" customHeight="1" x14ac:dyDescent="0.3">
      <c r="A101" s="128">
        <v>40</v>
      </c>
      <c r="B101" s="131">
        <f>($A$101*B97+268)/15.6</f>
        <v>786.41025641025647</v>
      </c>
      <c r="C101" s="131">
        <f t="shared" ref="C101:H101" si="16">($A$101*C97+268)/15.6</f>
        <v>888.97435897435901</v>
      </c>
      <c r="D101" s="132">
        <f t="shared" si="16"/>
        <v>968.46153846153845</v>
      </c>
      <c r="E101" s="131">
        <f t="shared" si="16"/>
        <v>1042.8205128205129</v>
      </c>
      <c r="F101" s="131">
        <f t="shared" si="16"/>
        <v>1119.7435897435898</v>
      </c>
      <c r="G101" s="131">
        <f t="shared" si="16"/>
        <v>1196.6666666666667</v>
      </c>
      <c r="H101" s="131">
        <f t="shared" si="16"/>
        <v>1299.2307692307693</v>
      </c>
      <c r="I101" s="20"/>
      <c r="J101" s="20"/>
      <c r="K101" s="20"/>
    </row>
    <row r="102" spans="1:11" ht="15.75" customHeight="1" x14ac:dyDescent="0.3">
      <c r="A102" s="128">
        <v>44</v>
      </c>
      <c r="B102" s="131">
        <f>($A$102*B97+268)/15.6</f>
        <v>863.33333333333337</v>
      </c>
      <c r="C102" s="131">
        <f t="shared" ref="C102:H102" si="17">($A$102*C97+268)/15.6</f>
        <v>976.15384615384619</v>
      </c>
      <c r="D102" s="131">
        <f t="shared" si="17"/>
        <v>1063.5897435897436</v>
      </c>
      <c r="E102" s="131">
        <f t="shared" si="17"/>
        <v>1145.3846153846155</v>
      </c>
      <c r="F102" s="131">
        <f t="shared" si="17"/>
        <v>1230</v>
      </c>
      <c r="G102" s="131">
        <f t="shared" si="17"/>
        <v>1314.6153846153848</v>
      </c>
      <c r="H102" s="131">
        <f t="shared" si="17"/>
        <v>1427.4358974358975</v>
      </c>
      <c r="I102" s="20"/>
      <c r="J102" s="20"/>
      <c r="K102" s="20"/>
    </row>
    <row r="103" spans="1:11" ht="15.75" customHeight="1" x14ac:dyDescent="0.3">
      <c r="A103" s="128">
        <v>48</v>
      </c>
      <c r="B103" s="133">
        <f>($A$103*B97+268)/15.6</f>
        <v>940.25641025641028</v>
      </c>
      <c r="C103" s="133">
        <f t="shared" ref="C103:H103" si="18">($A$103*C97+268)/15.6</f>
        <v>1063.3333333333333</v>
      </c>
      <c r="D103" s="133">
        <f t="shared" si="18"/>
        <v>1158.7179487179487</v>
      </c>
      <c r="E103" s="133">
        <f t="shared" si="18"/>
        <v>1247.948717948718</v>
      </c>
      <c r="F103" s="133">
        <f t="shared" si="18"/>
        <v>1340.2564102564104</v>
      </c>
      <c r="G103" s="133">
        <f t="shared" si="18"/>
        <v>1432.5641025641025</v>
      </c>
      <c r="H103" s="133">
        <f t="shared" si="18"/>
        <v>1555.6410256410256</v>
      </c>
      <c r="I103" s="20"/>
      <c r="J103" s="20"/>
      <c r="K103" s="20"/>
    </row>
    <row r="104" spans="1:11" ht="15.75" customHeight="1" x14ac:dyDescent="0.3">
      <c r="A104" s="128">
        <v>52</v>
      </c>
      <c r="B104" s="133">
        <f>($A$104*B97+268)/15.6</f>
        <v>1017.1794871794872</v>
      </c>
      <c r="C104" s="133">
        <f t="shared" ref="C104:H104" si="19">($A$104*C97+268)/15.6</f>
        <v>1150.5128205128206</v>
      </c>
      <c r="D104" s="133">
        <f t="shared" si="19"/>
        <v>1253.8461538461538</v>
      </c>
      <c r="E104" s="133">
        <f t="shared" si="19"/>
        <v>1350.5128205128206</v>
      </c>
      <c r="F104" s="133">
        <f t="shared" si="19"/>
        <v>1450.5128205128206</v>
      </c>
      <c r="G104" s="133">
        <f t="shared" si="19"/>
        <v>1550.5128205128206</v>
      </c>
      <c r="H104" s="133">
        <f t="shared" si="19"/>
        <v>1683.8461538461538</v>
      </c>
      <c r="I104" s="20"/>
      <c r="J104" s="20"/>
      <c r="K104" s="20"/>
    </row>
    <row r="105" spans="1:11" ht="1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ht="1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ht="1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ht="1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ht="1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ht="1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ht="1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ht="1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ht="1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ht="1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ht="1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ht="1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ht="1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ht="1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ht="1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ht="1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</sheetData>
  <mergeCells count="11">
    <mergeCell ref="A3:H3"/>
    <mergeCell ref="A5:D5"/>
    <mergeCell ref="A26:H26"/>
    <mergeCell ref="A42:E42"/>
    <mergeCell ref="A52:E52"/>
    <mergeCell ref="A96:I96"/>
    <mergeCell ref="A54:H54"/>
    <mergeCell ref="A55:H55"/>
    <mergeCell ref="A70:B70"/>
    <mergeCell ref="A74:D74"/>
    <mergeCell ref="A86:I86"/>
  </mergeCells>
  <conditionalFormatting sqref="B88:H94">
    <cfRule type="cellIs" dxfId="1" priority="2" operator="greaterThan">
      <formula>883</formula>
    </cfRule>
  </conditionalFormatting>
  <conditionalFormatting sqref="B98:H104">
    <cfRule type="cellIs" dxfId="0" priority="1" operator="greaterThan">
      <formula>883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showGridLines="0" zoomScaleNormal="100" workbookViewId="0">
      <selection activeCell="E4" sqref="E4"/>
    </sheetView>
  </sheetViews>
  <sheetFormatPr defaultColWidth="8.6640625" defaultRowHeight="14.4" x14ac:dyDescent="0.3"/>
  <cols>
    <col min="1" max="1" width="22" style="1" customWidth="1"/>
    <col min="2" max="2" width="9" style="1" customWidth="1"/>
    <col min="3" max="4" width="11" style="1" customWidth="1"/>
    <col min="5" max="12" width="10" style="1" customWidth="1"/>
  </cols>
  <sheetData>
    <row r="1" spans="1:12" ht="27.75" customHeight="1" x14ac:dyDescent="0.3">
      <c r="A1" s="19" t="s">
        <v>215</v>
      </c>
    </row>
    <row r="3" spans="1:12" ht="31.5" customHeight="1" x14ac:dyDescent="0.3">
      <c r="A3" s="72" t="s">
        <v>216</v>
      </c>
      <c r="B3" s="72" t="s">
        <v>217</v>
      </c>
      <c r="C3" s="72" t="s">
        <v>218</v>
      </c>
      <c r="D3" s="72" t="s">
        <v>219</v>
      </c>
      <c r="E3" s="72" t="s">
        <v>220</v>
      </c>
      <c r="F3" s="72" t="s">
        <v>221</v>
      </c>
      <c r="G3" s="72" t="s">
        <v>222</v>
      </c>
      <c r="H3" s="72" t="s">
        <v>223</v>
      </c>
      <c r="I3" s="72" t="s">
        <v>224</v>
      </c>
      <c r="J3" s="72" t="s">
        <v>225</v>
      </c>
      <c r="K3" s="72" t="s">
        <v>226</v>
      </c>
      <c r="L3" s="72" t="s">
        <v>227</v>
      </c>
    </row>
    <row r="4" spans="1:12" ht="18" customHeight="1" x14ac:dyDescent="0.3">
      <c r="A4" s="73" t="s">
        <v>228</v>
      </c>
      <c r="B4" s="74">
        <v>13787</v>
      </c>
      <c r="C4" s="74">
        <v>1599</v>
      </c>
      <c r="D4" s="74">
        <v>296</v>
      </c>
      <c r="E4" s="74">
        <v>218</v>
      </c>
      <c r="F4" s="75">
        <v>63.2</v>
      </c>
      <c r="G4" s="75">
        <v>45.8</v>
      </c>
      <c r="H4" s="75">
        <v>11.3</v>
      </c>
      <c r="I4" s="75">
        <v>8.5</v>
      </c>
      <c r="J4" s="76">
        <v>0.185</v>
      </c>
      <c r="K4" s="76">
        <v>0.223</v>
      </c>
      <c r="L4" s="76">
        <v>0.30399999999999999</v>
      </c>
    </row>
    <row r="5" spans="1:12" ht="18" customHeight="1" x14ac:dyDescent="0.3">
      <c r="A5" s="77" t="s">
        <v>229</v>
      </c>
      <c r="B5" s="78">
        <v>64000</v>
      </c>
      <c r="C5" s="78">
        <v>25000</v>
      </c>
      <c r="D5" s="78">
        <v>3500</v>
      </c>
      <c r="E5" s="78">
        <v>1600</v>
      </c>
      <c r="F5" s="79">
        <v>40</v>
      </c>
      <c r="G5" s="79">
        <v>18.3</v>
      </c>
      <c r="H5" s="79">
        <v>4</v>
      </c>
      <c r="I5" s="79">
        <v>2.5</v>
      </c>
      <c r="J5" s="80">
        <v>0.14000000000000001</v>
      </c>
      <c r="K5" s="80">
        <v>0.1</v>
      </c>
      <c r="L5" s="80">
        <v>0.125</v>
      </c>
    </row>
    <row r="6" spans="1:12" ht="18" customHeight="1" x14ac:dyDescent="0.3">
      <c r="A6" s="81" t="s">
        <v>230</v>
      </c>
      <c r="B6" s="13">
        <v>52000</v>
      </c>
      <c r="C6" s="13">
        <v>10500</v>
      </c>
      <c r="D6" s="13">
        <v>1750</v>
      </c>
      <c r="E6" s="13">
        <v>1150</v>
      </c>
      <c r="F6" s="82">
        <v>45.2</v>
      </c>
      <c r="G6" s="82">
        <v>29.7</v>
      </c>
      <c r="H6" s="82">
        <v>15</v>
      </c>
      <c r="I6" s="82">
        <v>5</v>
      </c>
      <c r="J6" s="83">
        <v>0.16700000000000001</v>
      </c>
      <c r="K6" s="83">
        <v>0.34</v>
      </c>
      <c r="L6" s="83">
        <v>0.45</v>
      </c>
    </row>
    <row r="7" spans="1:12" ht="18" customHeight="1" x14ac:dyDescent="0.3">
      <c r="A7" s="77" t="s">
        <v>231</v>
      </c>
      <c r="B7" s="78">
        <v>15000</v>
      </c>
      <c r="C7" s="78">
        <v>5800</v>
      </c>
      <c r="D7" s="78">
        <v>800</v>
      </c>
      <c r="E7" s="78">
        <v>450</v>
      </c>
      <c r="F7" s="79">
        <v>33.299999999999997</v>
      </c>
      <c r="G7" s="79">
        <v>18.5</v>
      </c>
      <c r="H7" s="79">
        <v>8.8000000000000007</v>
      </c>
      <c r="I7" s="79">
        <v>2.6</v>
      </c>
      <c r="J7" s="80">
        <v>0.13800000000000001</v>
      </c>
      <c r="K7" s="80">
        <v>0.26</v>
      </c>
      <c r="L7" s="80">
        <v>0.315</v>
      </c>
    </row>
    <row r="8" spans="1:12" ht="18" customHeight="1" x14ac:dyDescent="0.3">
      <c r="A8" s="81" t="s">
        <v>232</v>
      </c>
      <c r="B8" s="13">
        <v>65000</v>
      </c>
      <c r="C8" s="13">
        <v>13000</v>
      </c>
      <c r="D8" s="13">
        <v>2300</v>
      </c>
      <c r="E8" s="13">
        <v>1600</v>
      </c>
      <c r="F8" s="82">
        <v>40.6</v>
      </c>
      <c r="G8" s="82">
        <v>28.3</v>
      </c>
      <c r="H8" s="82">
        <v>10.199999999999999</v>
      </c>
      <c r="I8" s="82">
        <v>5</v>
      </c>
      <c r="J8" s="83">
        <v>0.17699999999999999</v>
      </c>
      <c r="K8" s="83">
        <v>0.25</v>
      </c>
      <c r="L8" s="83">
        <v>0.308</v>
      </c>
    </row>
    <row r="9" spans="1:12" ht="18" customHeight="1" x14ac:dyDescent="0.3">
      <c r="A9" s="77" t="s">
        <v>233</v>
      </c>
      <c r="B9" s="78">
        <v>86000</v>
      </c>
      <c r="C9" s="78">
        <v>22000</v>
      </c>
      <c r="D9" s="78">
        <v>3600</v>
      </c>
      <c r="E9" s="78">
        <v>2400</v>
      </c>
      <c r="F9" s="79">
        <v>35.799999999999997</v>
      </c>
      <c r="G9" s="79">
        <v>23.9</v>
      </c>
      <c r="H9" s="79">
        <v>8.8000000000000007</v>
      </c>
      <c r="I9" s="79">
        <v>3.9</v>
      </c>
      <c r="J9" s="80">
        <v>0.16400000000000001</v>
      </c>
      <c r="K9" s="80">
        <v>0.24</v>
      </c>
      <c r="L9" s="80">
        <v>0.27400000000000002</v>
      </c>
    </row>
    <row r="10" spans="1:12" ht="18" customHeight="1" x14ac:dyDescent="0.3">
      <c r="A10" s="81" t="s">
        <v>234</v>
      </c>
      <c r="B10" s="13">
        <v>11000</v>
      </c>
      <c r="C10" s="13">
        <v>1750</v>
      </c>
      <c r="D10" s="13">
        <v>410</v>
      </c>
      <c r="E10" s="13">
        <v>245</v>
      </c>
      <c r="F10" s="82">
        <v>44.9</v>
      </c>
      <c r="G10" s="82">
        <v>26.8</v>
      </c>
      <c r="H10" s="82">
        <v>13.5</v>
      </c>
      <c r="I10" s="82">
        <v>6.3</v>
      </c>
      <c r="J10" s="83">
        <v>0.23400000000000001</v>
      </c>
      <c r="K10" s="83">
        <v>0.28499999999999998</v>
      </c>
      <c r="L10" s="83">
        <v>0.36599999999999999</v>
      </c>
    </row>
    <row r="11" spans="1:12" ht="18" customHeight="1" x14ac:dyDescent="0.3">
      <c r="A11" s="77" t="s">
        <v>235</v>
      </c>
      <c r="B11" s="78">
        <v>1800</v>
      </c>
      <c r="C11" s="78">
        <v>920</v>
      </c>
      <c r="D11" s="78">
        <v>130</v>
      </c>
      <c r="E11" s="78">
        <v>72</v>
      </c>
      <c r="F11" s="79">
        <v>25</v>
      </c>
      <c r="G11" s="79">
        <v>13.8</v>
      </c>
      <c r="H11" s="79">
        <v>3.6</v>
      </c>
      <c r="I11" s="79">
        <v>2</v>
      </c>
      <c r="J11" s="80">
        <v>0.14099999999999999</v>
      </c>
      <c r="K11" s="80">
        <v>0.13500000000000001</v>
      </c>
      <c r="L11" s="80">
        <v>0.16</v>
      </c>
    </row>
    <row r="12" spans="1:12" ht="18" customHeight="1" x14ac:dyDescent="0.3">
      <c r="A12" s="84" t="s">
        <v>236</v>
      </c>
      <c r="B12" s="85">
        <f t="shared" ref="B12:L12" si="0">MEDIAN(B5:B11)</f>
        <v>52000</v>
      </c>
      <c r="C12" s="85">
        <f t="shared" si="0"/>
        <v>10500</v>
      </c>
      <c r="D12" s="85">
        <f t="shared" si="0"/>
        <v>1750</v>
      </c>
      <c r="E12" s="85">
        <f t="shared" si="0"/>
        <v>1150</v>
      </c>
      <c r="F12" s="86">
        <f t="shared" si="0"/>
        <v>40</v>
      </c>
      <c r="G12" s="86">
        <f t="shared" si="0"/>
        <v>23.9</v>
      </c>
      <c r="H12" s="86">
        <f t="shared" si="0"/>
        <v>8.8000000000000007</v>
      </c>
      <c r="I12" s="86">
        <f t="shared" si="0"/>
        <v>3.9</v>
      </c>
      <c r="J12" s="87">
        <f t="shared" si="0"/>
        <v>0.16400000000000001</v>
      </c>
      <c r="K12" s="87">
        <f t="shared" si="0"/>
        <v>0.25</v>
      </c>
      <c r="L12" s="87">
        <f t="shared" si="0"/>
        <v>0.308</v>
      </c>
    </row>
    <row r="13" spans="1:12" ht="18" customHeight="1" x14ac:dyDescent="0.3">
      <c r="A13" s="84" t="s">
        <v>237</v>
      </c>
      <c r="B13" s="85">
        <f t="shared" ref="B13:L13" si="1">AVERAGE(B5:B11)</f>
        <v>42114.285714285717</v>
      </c>
      <c r="C13" s="85">
        <f t="shared" si="1"/>
        <v>11281.428571428571</v>
      </c>
      <c r="D13" s="85">
        <f t="shared" si="1"/>
        <v>1784.2857142857142</v>
      </c>
      <c r="E13" s="85">
        <f t="shared" si="1"/>
        <v>1073.8571428571429</v>
      </c>
      <c r="F13" s="86">
        <f t="shared" si="1"/>
        <v>37.828571428571422</v>
      </c>
      <c r="G13" s="86">
        <f t="shared" si="1"/>
        <v>22.75714285714286</v>
      </c>
      <c r="H13" s="86">
        <f t="shared" si="1"/>
        <v>9.1285714285714281</v>
      </c>
      <c r="I13" s="86">
        <f t="shared" si="1"/>
        <v>3.9</v>
      </c>
      <c r="J13" s="87">
        <f t="shared" si="1"/>
        <v>0.1658571428571429</v>
      </c>
      <c r="K13" s="87">
        <f t="shared" si="1"/>
        <v>0.22999999999999998</v>
      </c>
      <c r="L13" s="87">
        <f t="shared" si="1"/>
        <v>0.28542857142857142</v>
      </c>
    </row>
    <row r="14" spans="1:12" ht="1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ht="19.5" customHeight="1" x14ac:dyDescent="0.3">
      <c r="A15" s="154" t="s">
        <v>238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</row>
    <row r="16" spans="1:12" ht="30" customHeight="1" x14ac:dyDescent="0.3">
      <c r="A16" s="72" t="s">
        <v>239</v>
      </c>
      <c r="B16" s="72" t="s">
        <v>240</v>
      </c>
      <c r="C16" s="72" t="s">
        <v>241</v>
      </c>
      <c r="D16" s="72" t="s">
        <v>242</v>
      </c>
      <c r="E16" s="72" t="s">
        <v>243</v>
      </c>
      <c r="F16" s="72" t="s">
        <v>244</v>
      </c>
      <c r="G16" s="72" t="s">
        <v>245</v>
      </c>
      <c r="H16" s="72" t="s">
        <v>246</v>
      </c>
      <c r="I16" s="72" t="s">
        <v>247</v>
      </c>
      <c r="J16" s="72" t="s">
        <v>248</v>
      </c>
      <c r="K16" s="72" t="s">
        <v>249</v>
      </c>
      <c r="L16" s="72" t="s">
        <v>250</v>
      </c>
    </row>
    <row r="17" spans="1:12" ht="18" customHeight="1" x14ac:dyDescent="0.3">
      <c r="A17" s="44" t="s">
        <v>251</v>
      </c>
      <c r="B17" s="88">
        <f>'DCF Valuation'!C30</f>
        <v>295.76875000000001</v>
      </c>
      <c r="C17" s="89">
        <f>G12</f>
        <v>23.9</v>
      </c>
      <c r="D17" s="45">
        <f>B17*C17</f>
        <v>7068.8731250000001</v>
      </c>
      <c r="E17" s="90">
        <v>268</v>
      </c>
      <c r="F17" s="14">
        <f>D17+E17</f>
        <v>7336.8731250000001</v>
      </c>
      <c r="G17" s="91">
        <v>15.6</v>
      </c>
      <c r="H17" s="14">
        <f>F17/G17</f>
        <v>470.31237980769231</v>
      </c>
      <c r="I17" s="90">
        <v>883</v>
      </c>
      <c r="J17" s="67">
        <f>H17/I17-1</f>
        <v>-0.46736989829253417</v>
      </c>
      <c r="K17" s="54">
        <v>40</v>
      </c>
      <c r="L17" s="92">
        <f>(B17*K17+E17)/G17</f>
        <v>775.56089743589746</v>
      </c>
    </row>
    <row r="18" spans="1:12" ht="18" customHeight="1" x14ac:dyDescent="0.3">
      <c r="A18" s="93" t="s">
        <v>252</v>
      </c>
      <c r="B18" s="13">
        <v>208</v>
      </c>
      <c r="C18" s="94">
        <f>F12</f>
        <v>40</v>
      </c>
      <c r="D18" s="95" t="s">
        <v>253</v>
      </c>
      <c r="E18" s="96" t="s">
        <v>254</v>
      </c>
      <c r="F18" s="59">
        <f>B18*C18</f>
        <v>8320</v>
      </c>
      <c r="G18" s="15">
        <v>15.6</v>
      </c>
      <c r="H18" s="59">
        <f>F18/G18</f>
        <v>533.33333333333337</v>
      </c>
      <c r="I18" s="13">
        <v>883</v>
      </c>
      <c r="J18" s="12">
        <f>H18/I18-1</f>
        <v>-0.395998489996225</v>
      </c>
      <c r="K18" s="54">
        <v>55</v>
      </c>
      <c r="L18" s="92">
        <f>B18/G18*K18</f>
        <v>733.33333333333337</v>
      </c>
    </row>
    <row r="19" spans="1:12" ht="18" customHeight="1" x14ac:dyDescent="0.3">
      <c r="A19" s="97" t="s">
        <v>255</v>
      </c>
      <c r="B19" s="88">
        <f>'DCF Valuation'!C28</f>
        <v>1598.75</v>
      </c>
      <c r="C19" s="89">
        <f>I12</f>
        <v>3.9</v>
      </c>
      <c r="D19" s="45">
        <f>B19*C19</f>
        <v>6235.125</v>
      </c>
      <c r="E19" s="90">
        <v>268</v>
      </c>
      <c r="F19" s="14">
        <f>D19+E19</f>
        <v>6503.125</v>
      </c>
      <c r="G19" s="91">
        <v>15.6</v>
      </c>
      <c r="H19" s="14">
        <f>F19/G19</f>
        <v>416.86698717948718</v>
      </c>
      <c r="I19" s="90">
        <v>883</v>
      </c>
      <c r="J19" s="67">
        <f>H19/I19-1</f>
        <v>-0.52789695676162274</v>
      </c>
      <c r="K19" s="54">
        <v>6</v>
      </c>
      <c r="L19" s="92">
        <f>(B19*K19+E19)/G19</f>
        <v>632.08333333333337</v>
      </c>
    </row>
    <row r="20" spans="1:12" ht="18" customHeight="1" x14ac:dyDescent="0.3">
      <c r="A20" s="98"/>
      <c r="B20" s="22"/>
      <c r="C20" s="99"/>
      <c r="D20" s="22"/>
      <c r="E20" s="100"/>
      <c r="F20" s="22"/>
      <c r="G20" s="101"/>
      <c r="H20" s="102"/>
      <c r="I20" s="102"/>
      <c r="J20" s="53"/>
      <c r="K20" s="20"/>
      <c r="L20" s="20"/>
    </row>
    <row r="21" spans="1:12" ht="19.5" customHeight="1" x14ac:dyDescent="0.3">
      <c r="A21" s="154" t="s">
        <v>256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</row>
    <row r="22" spans="1:12" ht="27.75" customHeight="1" x14ac:dyDescent="0.3">
      <c r="A22" s="103" t="s">
        <v>176</v>
      </c>
      <c r="B22" s="72" t="s">
        <v>257</v>
      </c>
      <c r="C22" s="72" t="s">
        <v>258</v>
      </c>
      <c r="D22" s="72" t="s">
        <v>259</v>
      </c>
      <c r="E22" s="72" t="s">
        <v>260</v>
      </c>
      <c r="F22" s="72" t="s">
        <v>261</v>
      </c>
      <c r="G22" s="163" t="s">
        <v>262</v>
      </c>
      <c r="H22" s="163"/>
      <c r="I22" s="163"/>
      <c r="J22" s="163"/>
      <c r="K22" s="163"/>
      <c r="L22" s="163"/>
    </row>
    <row r="23" spans="1:12" ht="19.5" customHeight="1" x14ac:dyDescent="0.3">
      <c r="A23" s="47" t="s">
        <v>263</v>
      </c>
      <c r="B23" s="13">
        <v>180</v>
      </c>
      <c r="C23" s="104">
        <f>'DCF Valuation'!B49</f>
        <v>217.80971657451124</v>
      </c>
      <c r="D23" s="13">
        <v>250</v>
      </c>
      <c r="E23" s="105">
        <v>0</v>
      </c>
      <c r="F23" s="106" t="s">
        <v>264</v>
      </c>
      <c r="G23" s="159" t="s">
        <v>389</v>
      </c>
      <c r="H23" s="159"/>
      <c r="I23" s="159"/>
      <c r="J23" s="159"/>
      <c r="K23" s="159"/>
      <c r="L23" s="159"/>
    </row>
    <row r="24" spans="1:12" ht="19.5" customHeight="1" x14ac:dyDescent="0.3">
      <c r="A24" s="44" t="s">
        <v>265</v>
      </c>
      <c r="B24" s="45">
        <v>720</v>
      </c>
      <c r="C24" s="35">
        <f>'DCF Valuation'!C67</f>
        <v>899.03846153846155</v>
      </c>
      <c r="D24" s="45">
        <v>1200</v>
      </c>
      <c r="E24" s="107">
        <v>0.5</v>
      </c>
      <c r="F24" s="14">
        <f>C24*E24</f>
        <v>449.51923076923077</v>
      </c>
      <c r="G24" s="164" t="s">
        <v>266</v>
      </c>
      <c r="H24" s="164"/>
      <c r="I24" s="164"/>
      <c r="J24" s="164"/>
      <c r="K24" s="164"/>
      <c r="L24" s="164"/>
    </row>
    <row r="25" spans="1:12" ht="19.5" customHeight="1" x14ac:dyDescent="0.3">
      <c r="A25" s="93" t="s">
        <v>267</v>
      </c>
      <c r="B25" s="18">
        <v>700</v>
      </c>
      <c r="C25" s="104">
        <f>'DCF Valuation'!C68</f>
        <v>967.41089743589737</v>
      </c>
      <c r="D25" s="18">
        <v>1170</v>
      </c>
      <c r="E25" s="107">
        <v>0.5</v>
      </c>
      <c r="F25" s="59">
        <f>C25*E25</f>
        <v>483.70544871794868</v>
      </c>
      <c r="G25" s="159" t="s">
        <v>268</v>
      </c>
      <c r="H25" s="159"/>
      <c r="I25" s="159"/>
      <c r="J25" s="159"/>
      <c r="K25" s="159"/>
      <c r="L25" s="159"/>
    </row>
    <row r="26" spans="1:12" ht="18" customHeight="1" x14ac:dyDescent="0.3">
      <c r="A26" s="98"/>
      <c r="B26" s="102"/>
      <c r="C26" s="102"/>
      <c r="D26" s="102"/>
      <c r="E26" s="53"/>
      <c r="F26" s="102"/>
      <c r="G26" s="20"/>
      <c r="H26" s="20"/>
      <c r="I26" s="20"/>
      <c r="J26" s="20"/>
      <c r="K26" s="20"/>
      <c r="L26" s="20"/>
    </row>
    <row r="27" spans="1:12" ht="24" customHeight="1" x14ac:dyDescent="0.3">
      <c r="A27" s="160" t="s">
        <v>269</v>
      </c>
      <c r="B27" s="160"/>
      <c r="C27" s="61">
        <f>SUMPRODUCT(C24:C25,E24:E25)/SUMPRODUCT(E24:E25)</f>
        <v>933.2246794871794</v>
      </c>
      <c r="D27" s="102"/>
      <c r="E27" s="53"/>
      <c r="F27" s="102"/>
      <c r="G27" s="20"/>
      <c r="H27" s="20"/>
      <c r="I27" s="20"/>
      <c r="J27" s="20"/>
      <c r="K27" s="20"/>
      <c r="L27" s="20"/>
    </row>
    <row r="28" spans="1:12" ht="18" customHeight="1" x14ac:dyDescent="0.3">
      <c r="A28" s="93" t="s">
        <v>127</v>
      </c>
      <c r="B28" s="102"/>
      <c r="C28" s="13">
        <v>883</v>
      </c>
      <c r="D28" s="102"/>
      <c r="E28" s="53"/>
      <c r="F28" s="102"/>
      <c r="G28" s="20"/>
      <c r="H28" s="20"/>
      <c r="I28" s="20"/>
      <c r="J28" s="20"/>
      <c r="K28" s="20"/>
      <c r="L28" s="20"/>
    </row>
    <row r="29" spans="1:12" ht="19.5" customHeight="1" x14ac:dyDescent="0.3">
      <c r="A29" s="63" t="s">
        <v>270</v>
      </c>
      <c r="B29" s="20"/>
      <c r="C29" s="64">
        <f>C27/C28-1</f>
        <v>5.6879591718209888E-2</v>
      </c>
      <c r="D29" s="20"/>
      <c r="E29" s="20"/>
      <c r="F29" s="102"/>
      <c r="G29" s="20"/>
      <c r="H29" s="20"/>
      <c r="I29" s="20"/>
      <c r="J29" s="20"/>
      <c r="K29" s="20"/>
      <c r="L29" s="20"/>
    </row>
    <row r="30" spans="1:12" ht="83.4" customHeight="1" x14ac:dyDescent="0.3">
      <c r="A30" s="108" t="s">
        <v>271</v>
      </c>
      <c r="B30" s="161" t="s">
        <v>390</v>
      </c>
      <c r="C30" s="161"/>
      <c r="D30" s="161"/>
      <c r="E30" s="161"/>
      <c r="F30" s="161"/>
      <c r="G30" s="161"/>
      <c r="H30" s="20"/>
      <c r="I30" s="20"/>
      <c r="J30" s="20"/>
      <c r="K30" s="20"/>
      <c r="L30" s="20"/>
    </row>
    <row r="31" spans="1:12" ht="19.5" customHeight="1" x14ac:dyDescent="0.3">
      <c r="A31" s="162" t="s">
        <v>272</v>
      </c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</row>
    <row r="32" spans="1:12" ht="1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ht="1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 ht="1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 ht="1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 ht="1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 ht="1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 ht="1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12" ht="1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1:12" ht="1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 ht="1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12" ht="1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 ht="1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 ht="1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 ht="1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spans="1:12" ht="1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spans="1:12" ht="1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spans="1:12" ht="1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spans="1:12" ht="1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</sheetData>
  <mergeCells count="9">
    <mergeCell ref="G25:L25"/>
    <mergeCell ref="A27:B27"/>
    <mergeCell ref="B30:G30"/>
    <mergeCell ref="A31:L31"/>
    <mergeCell ref="A15:L15"/>
    <mergeCell ref="A21:L21"/>
    <mergeCell ref="G22:L22"/>
    <mergeCell ref="G23:L23"/>
    <mergeCell ref="G24:L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zoomScaleNormal="100" workbookViewId="0">
      <selection activeCell="B14" sqref="B14"/>
    </sheetView>
  </sheetViews>
  <sheetFormatPr defaultColWidth="8.6640625" defaultRowHeight="14.4" x14ac:dyDescent="0.3"/>
  <cols>
    <col min="1" max="1" width="30" style="1" customWidth="1"/>
    <col min="2" max="4" width="14" style="1" customWidth="1"/>
    <col min="5" max="5" width="18" style="1" customWidth="1"/>
  </cols>
  <sheetData>
    <row r="1" spans="1:5" ht="27.75" customHeight="1" x14ac:dyDescent="0.3">
      <c r="A1" s="151" t="s">
        <v>273</v>
      </c>
      <c r="B1" s="151"/>
      <c r="C1" s="151"/>
      <c r="D1" s="151"/>
      <c r="E1" s="151"/>
    </row>
    <row r="3" spans="1:5" ht="19.5" customHeight="1" x14ac:dyDescent="0.3">
      <c r="A3" s="2" t="s">
        <v>274</v>
      </c>
      <c r="B3" s="2" t="s">
        <v>275</v>
      </c>
      <c r="C3" s="2" t="s">
        <v>276</v>
      </c>
      <c r="D3" s="2" t="s">
        <v>277</v>
      </c>
      <c r="E3" s="2" t="s">
        <v>278</v>
      </c>
    </row>
    <row r="4" spans="1:5" ht="18" customHeight="1" x14ac:dyDescent="0.3">
      <c r="A4" s="109" t="s">
        <v>279</v>
      </c>
      <c r="B4" s="110" t="s">
        <v>280</v>
      </c>
      <c r="C4" s="111" t="s">
        <v>281</v>
      </c>
      <c r="D4" s="112" t="s">
        <v>282</v>
      </c>
      <c r="E4" s="109" t="s">
        <v>283</v>
      </c>
    </row>
    <row r="5" spans="1:5" ht="18" customHeight="1" x14ac:dyDescent="0.3">
      <c r="A5" s="113" t="s">
        <v>284</v>
      </c>
      <c r="B5" s="114" t="s">
        <v>285</v>
      </c>
      <c r="C5" s="115" t="s">
        <v>286</v>
      </c>
      <c r="D5" s="116" t="s">
        <v>287</v>
      </c>
      <c r="E5" s="113" t="s">
        <v>288</v>
      </c>
    </row>
    <row r="6" spans="1:5" ht="18" customHeight="1" x14ac:dyDescent="0.3">
      <c r="A6" s="109" t="s">
        <v>289</v>
      </c>
      <c r="B6" s="110" t="s">
        <v>290</v>
      </c>
      <c r="C6" s="111" t="s">
        <v>291</v>
      </c>
      <c r="D6" s="112" t="s">
        <v>292</v>
      </c>
      <c r="E6" s="109" t="s">
        <v>293</v>
      </c>
    </row>
    <row r="7" spans="1:5" ht="18" customHeight="1" x14ac:dyDescent="0.3">
      <c r="A7" s="113" t="s">
        <v>294</v>
      </c>
      <c r="B7" s="114" t="s">
        <v>295</v>
      </c>
      <c r="C7" s="115" t="s">
        <v>296</v>
      </c>
      <c r="D7" s="116" t="s">
        <v>297</v>
      </c>
      <c r="E7" s="113"/>
    </row>
    <row r="8" spans="1:5" ht="18" customHeight="1" x14ac:dyDescent="0.3">
      <c r="A8" s="109" t="s">
        <v>123</v>
      </c>
      <c r="B8" s="110" t="s">
        <v>298</v>
      </c>
      <c r="C8" s="111" t="s">
        <v>299</v>
      </c>
      <c r="D8" s="112" t="s">
        <v>300</v>
      </c>
      <c r="E8" s="109" t="s">
        <v>301</v>
      </c>
    </row>
    <row r="9" spans="1:5" ht="18" customHeight="1" x14ac:dyDescent="0.3">
      <c r="A9" s="113" t="s">
        <v>121</v>
      </c>
      <c r="B9" s="114" t="s">
        <v>302</v>
      </c>
      <c r="C9" s="115" t="s">
        <v>280</v>
      </c>
      <c r="D9" s="116" t="s">
        <v>303</v>
      </c>
      <c r="E9" s="113" t="s">
        <v>304</v>
      </c>
    </row>
    <row r="10" spans="1:5" ht="18" customHeight="1" x14ac:dyDescent="0.3">
      <c r="A10" s="117" t="s">
        <v>305</v>
      </c>
      <c r="B10" s="118" t="s">
        <v>306</v>
      </c>
      <c r="C10" s="119" t="s">
        <v>391</v>
      </c>
      <c r="D10" s="120" t="s">
        <v>307</v>
      </c>
      <c r="E10" s="117" t="s">
        <v>308</v>
      </c>
    </row>
    <row r="11" spans="1:5" ht="18" customHeight="1" x14ac:dyDescent="0.3">
      <c r="A11" s="113" t="s">
        <v>309</v>
      </c>
      <c r="B11" s="114" t="s">
        <v>310</v>
      </c>
      <c r="C11" s="115" t="s">
        <v>214</v>
      </c>
      <c r="D11" s="116" t="s">
        <v>311</v>
      </c>
      <c r="E11" s="113" t="s">
        <v>312</v>
      </c>
    </row>
    <row r="12" spans="1:5" ht="18" customHeight="1" x14ac:dyDescent="0.3">
      <c r="A12" s="109" t="s">
        <v>313</v>
      </c>
      <c r="B12" s="110">
        <v>40</v>
      </c>
      <c r="C12" s="111">
        <v>55</v>
      </c>
      <c r="D12" s="112">
        <v>60</v>
      </c>
      <c r="E12" s="109" t="s">
        <v>314</v>
      </c>
    </row>
    <row r="13" spans="1:5" ht="18" customHeight="1" x14ac:dyDescent="0.3">
      <c r="A13" s="113" t="s">
        <v>168</v>
      </c>
      <c r="B13" s="114">
        <v>14</v>
      </c>
      <c r="C13" s="134">
        <v>16.350000000000001</v>
      </c>
      <c r="D13" s="116" t="s">
        <v>315</v>
      </c>
      <c r="E13" s="113" t="s">
        <v>316</v>
      </c>
    </row>
    <row r="14" spans="1:5" ht="18" customHeight="1" x14ac:dyDescent="0.3">
      <c r="A14" s="109" t="s">
        <v>317</v>
      </c>
      <c r="B14" s="110">
        <f>B12*B13</f>
        <v>560</v>
      </c>
      <c r="C14" s="135">
        <f>C12*C13</f>
        <v>899.25000000000011</v>
      </c>
      <c r="D14" s="112">
        <f>D12*D13</f>
        <v>1320</v>
      </c>
      <c r="E14" s="109"/>
    </row>
    <row r="15" spans="1:5" ht="18" customHeight="1" x14ac:dyDescent="0.3">
      <c r="A15" s="113" t="s">
        <v>318</v>
      </c>
      <c r="B15" s="114" t="s">
        <v>291</v>
      </c>
      <c r="C15" s="134" t="s">
        <v>319</v>
      </c>
      <c r="D15" s="116" t="s">
        <v>282</v>
      </c>
      <c r="E15" s="113" t="s">
        <v>320</v>
      </c>
    </row>
    <row r="16" spans="1:5" ht="18" customHeight="1" x14ac:dyDescent="0.3">
      <c r="A16" s="109" t="s">
        <v>321</v>
      </c>
      <c r="B16" s="110">
        <f>B14*B15</f>
        <v>112</v>
      </c>
      <c r="C16" s="135">
        <f>C14*C15</f>
        <v>494.58750000000009</v>
      </c>
      <c r="D16" s="112">
        <f>D14*D15</f>
        <v>330</v>
      </c>
      <c r="E16" s="137">
        <f>SUM(B16:D16)</f>
        <v>936.58750000000009</v>
      </c>
    </row>
    <row r="17" spans="5:5" x14ac:dyDescent="0.3">
      <c r="E17" s="136" t="s">
        <v>392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zoomScaleNormal="100" workbookViewId="0">
      <selection activeCell="F22" sqref="F22"/>
    </sheetView>
  </sheetViews>
  <sheetFormatPr defaultColWidth="8.6640625" defaultRowHeight="14.4" x14ac:dyDescent="0.3"/>
  <cols>
    <col min="1" max="1" width="26" style="1" customWidth="1"/>
    <col min="2" max="8" width="10" style="1" customWidth="1"/>
    <col min="9" max="9" width="12" style="1" customWidth="1"/>
  </cols>
  <sheetData>
    <row r="1" spans="1:9" ht="27.75" customHeight="1" x14ac:dyDescent="0.3">
      <c r="A1" s="151" t="s">
        <v>322</v>
      </c>
      <c r="B1" s="151"/>
      <c r="C1" s="151"/>
      <c r="D1" s="151"/>
      <c r="E1" s="151"/>
      <c r="F1" s="151"/>
      <c r="G1" s="151"/>
      <c r="H1" s="151"/>
      <c r="I1" s="151"/>
    </row>
    <row r="3" spans="1:9" ht="15" customHeight="1" x14ac:dyDescent="0.3">
      <c r="A3" s="9" t="s">
        <v>323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324</v>
      </c>
    </row>
    <row r="4" spans="1:9" ht="15" customHeight="1" x14ac:dyDescent="0.3">
      <c r="A4" s="165" t="s">
        <v>325</v>
      </c>
      <c r="B4" s="165"/>
      <c r="C4" s="165"/>
      <c r="D4" s="165"/>
      <c r="E4" s="165"/>
      <c r="F4" s="165"/>
      <c r="G4" s="165"/>
      <c r="H4" s="165"/>
      <c r="I4" s="165"/>
    </row>
    <row r="5" spans="1:9" ht="15.75" customHeight="1" x14ac:dyDescent="0.3">
      <c r="A5" s="11" t="s">
        <v>326</v>
      </c>
      <c r="B5" s="6">
        <v>459</v>
      </c>
      <c r="C5" s="6">
        <v>515</v>
      </c>
      <c r="D5" s="6">
        <v>594</v>
      </c>
      <c r="E5" s="6">
        <v>797</v>
      </c>
      <c r="F5" s="6">
        <v>872</v>
      </c>
      <c r="G5" s="6">
        <v>1001</v>
      </c>
      <c r="H5" s="6">
        <v>1279</v>
      </c>
      <c r="I5" s="121" t="s">
        <v>327</v>
      </c>
    </row>
    <row r="6" spans="1:9" ht="15.75" customHeight="1" x14ac:dyDescent="0.3">
      <c r="A6" s="122" t="s">
        <v>328</v>
      </c>
      <c r="B6" s="123">
        <v>30</v>
      </c>
      <c r="C6" s="123">
        <v>38</v>
      </c>
      <c r="D6" s="123">
        <v>71</v>
      </c>
      <c r="E6" s="123">
        <v>97</v>
      </c>
      <c r="F6" s="123">
        <v>134</v>
      </c>
      <c r="G6" s="123">
        <v>171</v>
      </c>
      <c r="H6" s="123">
        <v>235</v>
      </c>
      <c r="I6" s="120" t="s">
        <v>327</v>
      </c>
    </row>
    <row r="7" spans="1:9" ht="15.75" customHeight="1" x14ac:dyDescent="0.3">
      <c r="A7" s="11" t="s">
        <v>62</v>
      </c>
      <c r="B7" s="115" t="s">
        <v>300</v>
      </c>
      <c r="C7" s="115" t="s">
        <v>329</v>
      </c>
      <c r="D7" s="115" t="s">
        <v>330</v>
      </c>
      <c r="E7" s="115" t="s">
        <v>331</v>
      </c>
      <c r="F7" s="115" t="s">
        <v>332</v>
      </c>
      <c r="G7" s="115" t="s">
        <v>29</v>
      </c>
      <c r="H7" s="115" t="s">
        <v>26</v>
      </c>
      <c r="I7" s="121" t="s">
        <v>333</v>
      </c>
    </row>
    <row r="8" spans="1:9" ht="15.75" customHeight="1" x14ac:dyDescent="0.3">
      <c r="A8" s="122" t="s">
        <v>334</v>
      </c>
      <c r="B8" s="123">
        <v>3</v>
      </c>
      <c r="C8" s="123">
        <v>30</v>
      </c>
      <c r="D8" s="123">
        <v>45</v>
      </c>
      <c r="E8" s="123">
        <v>70</v>
      </c>
      <c r="F8" s="123">
        <v>97</v>
      </c>
      <c r="G8" s="123">
        <v>118</v>
      </c>
      <c r="H8" s="123">
        <v>175</v>
      </c>
      <c r="I8" s="120" t="s">
        <v>327</v>
      </c>
    </row>
    <row r="9" spans="1:9" ht="15.75" customHeight="1" x14ac:dyDescent="0.3">
      <c r="A9" s="11" t="s">
        <v>335</v>
      </c>
      <c r="B9" s="115" t="s">
        <v>336</v>
      </c>
      <c r="C9" s="115" t="s">
        <v>337</v>
      </c>
      <c r="D9" s="115" t="s">
        <v>338</v>
      </c>
      <c r="E9" s="115" t="s">
        <v>339</v>
      </c>
      <c r="F9" s="115" t="s">
        <v>340</v>
      </c>
      <c r="G9" s="115" t="s">
        <v>341</v>
      </c>
      <c r="H9" s="115" t="s">
        <v>342</v>
      </c>
      <c r="I9" s="121" t="s">
        <v>333</v>
      </c>
    </row>
    <row r="10" spans="1:9" ht="15.75" customHeight="1" x14ac:dyDescent="0.3">
      <c r="A10" s="122" t="s">
        <v>19</v>
      </c>
      <c r="B10" s="111" t="s">
        <v>343</v>
      </c>
      <c r="C10" s="111" t="s">
        <v>337</v>
      </c>
      <c r="D10" s="111" t="s">
        <v>344</v>
      </c>
      <c r="E10" s="111" t="s">
        <v>345</v>
      </c>
      <c r="F10" s="111" t="s">
        <v>346</v>
      </c>
      <c r="G10" s="111" t="s">
        <v>347</v>
      </c>
      <c r="H10" s="138">
        <v>0.25</v>
      </c>
      <c r="I10" s="119" t="s">
        <v>354</v>
      </c>
    </row>
    <row r="11" spans="1:9" ht="15.75" customHeight="1" x14ac:dyDescent="0.3">
      <c r="A11" s="11" t="s">
        <v>21</v>
      </c>
      <c r="B11" s="115" t="s">
        <v>336</v>
      </c>
      <c r="C11" s="115" t="s">
        <v>338</v>
      </c>
      <c r="D11" s="115" t="s">
        <v>348</v>
      </c>
      <c r="E11" s="115" t="s">
        <v>349</v>
      </c>
      <c r="F11" s="115" t="s">
        <v>350</v>
      </c>
      <c r="G11" s="115" t="s">
        <v>351</v>
      </c>
      <c r="H11" s="115" t="s">
        <v>22</v>
      </c>
      <c r="I11" s="121" t="s">
        <v>333</v>
      </c>
    </row>
    <row r="13" spans="1:9" ht="15" customHeight="1" x14ac:dyDescent="0.3">
      <c r="A13" s="165" t="s">
        <v>352</v>
      </c>
      <c r="B13" s="165"/>
      <c r="C13" s="165"/>
      <c r="D13" s="165"/>
      <c r="E13" s="165"/>
      <c r="F13" s="165"/>
      <c r="G13" s="165"/>
      <c r="H13" s="165"/>
      <c r="I13" s="165"/>
    </row>
    <row r="14" spans="1:9" ht="15.75" customHeight="1" x14ac:dyDescent="0.3">
      <c r="A14" s="122" t="s">
        <v>353</v>
      </c>
      <c r="B14" s="139">
        <f>'Historical Financials'!B5/'Historical Financials'!B29</f>
        <v>0.65948275862068961</v>
      </c>
      <c r="C14" s="139">
        <f>'Historical Financials'!C5/'Historical Financials'!C29</f>
        <v>0.68302387267904507</v>
      </c>
      <c r="D14" s="139">
        <f>'Historical Financials'!D5/'Historical Financials'!D29</f>
        <v>0.75668789808917203</v>
      </c>
      <c r="E14" s="139">
        <f>'Historical Financials'!E5/'Historical Financials'!E29</f>
        <v>0.92459396751740142</v>
      </c>
      <c r="F14" s="139">
        <f>'Historical Financials'!F5/'Historical Financials'!F29</f>
        <v>0.93763440860215053</v>
      </c>
      <c r="G14" s="139">
        <f>'Historical Financials'!G5/'Historical Financials'!G29</f>
        <v>0.91165755919854286</v>
      </c>
      <c r="H14" s="139">
        <f>'Historical Financials'!H5/'Historical Financials'!H29</f>
        <v>0.96893939393939399</v>
      </c>
      <c r="I14" s="119" t="s">
        <v>354</v>
      </c>
    </row>
    <row r="15" spans="1:9" ht="15.75" customHeight="1" x14ac:dyDescent="0.3">
      <c r="A15" s="11" t="s">
        <v>355</v>
      </c>
      <c r="B15" s="6">
        <v>62</v>
      </c>
      <c r="C15" s="6">
        <v>58</v>
      </c>
      <c r="D15" s="6">
        <v>54</v>
      </c>
      <c r="E15" s="6">
        <v>48</v>
      </c>
      <c r="F15" s="6">
        <v>52</v>
      </c>
      <c r="G15" s="6">
        <v>55</v>
      </c>
      <c r="H15" s="6">
        <v>50</v>
      </c>
      <c r="I15" s="124" t="s">
        <v>356</v>
      </c>
    </row>
    <row r="16" spans="1:9" ht="15.75" customHeight="1" x14ac:dyDescent="0.3">
      <c r="A16" s="122" t="s">
        <v>357</v>
      </c>
      <c r="B16" s="123">
        <v>110</v>
      </c>
      <c r="C16" s="123">
        <v>108</v>
      </c>
      <c r="D16" s="123">
        <v>105</v>
      </c>
      <c r="E16" s="123">
        <v>98</v>
      </c>
      <c r="F16" s="123">
        <v>92</v>
      </c>
      <c r="G16" s="123">
        <v>88</v>
      </c>
      <c r="H16" s="123">
        <v>80</v>
      </c>
      <c r="I16" s="118" t="s">
        <v>356</v>
      </c>
    </row>
    <row r="17" spans="1:9" ht="15.75" customHeight="1" x14ac:dyDescent="0.3">
      <c r="A17" s="11" t="s">
        <v>358</v>
      </c>
      <c r="B17" s="6">
        <v>60</v>
      </c>
      <c r="C17" s="6">
        <v>65</v>
      </c>
      <c r="D17" s="6">
        <v>60</v>
      </c>
      <c r="E17" s="6">
        <v>58</v>
      </c>
      <c r="F17" s="6">
        <v>55</v>
      </c>
      <c r="G17" s="6">
        <v>50</v>
      </c>
      <c r="H17" s="6">
        <v>50</v>
      </c>
      <c r="I17" s="125" t="s">
        <v>354</v>
      </c>
    </row>
    <row r="18" spans="1:9" ht="15.75" customHeight="1" x14ac:dyDescent="0.3">
      <c r="A18" s="122" t="s">
        <v>359</v>
      </c>
      <c r="B18" s="123">
        <v>112</v>
      </c>
      <c r="C18" s="123">
        <v>101</v>
      </c>
      <c r="D18" s="123">
        <v>99</v>
      </c>
      <c r="E18" s="123">
        <v>88</v>
      </c>
      <c r="F18" s="123">
        <v>89</v>
      </c>
      <c r="G18" s="123">
        <v>93</v>
      </c>
      <c r="H18" s="123">
        <v>80</v>
      </c>
      <c r="I18" s="118" t="s">
        <v>356</v>
      </c>
    </row>
    <row r="19" spans="1:9" ht="15.75" customHeight="1" x14ac:dyDescent="0.3">
      <c r="A19" s="11" t="s">
        <v>360</v>
      </c>
      <c r="B19" s="140">
        <f>ABS('Historical Financials'!B38)/'Historical Financials'!B5</f>
        <v>2.8322440087145968E-2</v>
      </c>
      <c r="C19" s="140">
        <f>ABS('Historical Financials'!C38)/'Historical Financials'!C5</f>
        <v>2.524271844660194E-2</v>
      </c>
      <c r="D19" s="140">
        <f>ABS('Historical Financials'!D38)/'Historical Financials'!D5</f>
        <v>2.5252525252525252E-2</v>
      </c>
      <c r="E19" s="140">
        <f>ABS('Historical Financials'!E38)/'Historical Financials'!E5</f>
        <v>1.8820577164366373E-2</v>
      </c>
      <c r="F19" s="140">
        <f>ABS('Historical Financials'!F38)/'Historical Financials'!F5</f>
        <v>2.4082568807339451E-2</v>
      </c>
      <c r="G19" s="140">
        <f>ABS('Historical Financials'!G38)/'Historical Financials'!G5</f>
        <v>4.4955044955044952E-2</v>
      </c>
      <c r="H19" s="140">
        <f>ABS('Historical Financials'!H38)/'Historical Financials'!H5</f>
        <v>4.3784206411258797E-2</v>
      </c>
      <c r="I19" s="125" t="s">
        <v>354</v>
      </c>
    </row>
    <row r="21" spans="1:9" ht="15" customHeight="1" x14ac:dyDescent="0.3">
      <c r="A21" s="165" t="s">
        <v>361</v>
      </c>
      <c r="B21" s="165"/>
      <c r="C21" s="165"/>
      <c r="D21" s="165"/>
      <c r="E21" s="165"/>
      <c r="F21" s="165"/>
      <c r="G21" s="165"/>
      <c r="H21" s="165"/>
      <c r="I21" s="165"/>
    </row>
    <row r="22" spans="1:9" ht="15.75" customHeight="1" x14ac:dyDescent="0.3">
      <c r="A22" s="11" t="s">
        <v>362</v>
      </c>
      <c r="B22" s="6">
        <f>'Historical Financials'!B31</f>
        <v>-23</v>
      </c>
      <c r="C22" s="6">
        <f>'Historical Financials'!C31</f>
        <v>-42</v>
      </c>
      <c r="D22" s="6">
        <f>'Historical Financials'!D31</f>
        <v>-98</v>
      </c>
      <c r="E22" s="6">
        <f>'Historical Financials'!E31</f>
        <v>-119</v>
      </c>
      <c r="F22" s="6">
        <f>'Historical Financials'!F31</f>
        <v>-260</v>
      </c>
      <c r="G22" s="6">
        <f>'Historical Financials'!G31</f>
        <v>-300</v>
      </c>
      <c r="H22" s="6">
        <f>'Historical Financials'!H31</f>
        <v>-268</v>
      </c>
      <c r="I22" s="125" t="s">
        <v>354</v>
      </c>
    </row>
    <row r="23" spans="1:9" ht="15.75" customHeight="1" x14ac:dyDescent="0.3">
      <c r="A23" s="122" t="s">
        <v>363</v>
      </c>
      <c r="B23" s="141">
        <f>B22/B6</f>
        <v>-0.76666666666666672</v>
      </c>
      <c r="C23" s="141">
        <f t="shared" ref="C23:H23" si="0">C22/C6</f>
        <v>-1.1052631578947369</v>
      </c>
      <c r="D23" s="141">
        <f t="shared" si="0"/>
        <v>-1.380281690140845</v>
      </c>
      <c r="E23" s="141">
        <f t="shared" si="0"/>
        <v>-1.2268041237113403</v>
      </c>
      <c r="F23" s="141">
        <f t="shared" si="0"/>
        <v>-1.9402985074626866</v>
      </c>
      <c r="G23" s="141">
        <f t="shared" si="0"/>
        <v>-1.7543859649122806</v>
      </c>
      <c r="H23" s="141">
        <f t="shared" si="0"/>
        <v>-1.1404255319148937</v>
      </c>
      <c r="I23" s="119" t="s">
        <v>354</v>
      </c>
    </row>
    <row r="24" spans="1:9" ht="15.75" customHeight="1" x14ac:dyDescent="0.3">
      <c r="A24" s="11" t="s">
        <v>364</v>
      </c>
      <c r="B24" s="115" t="s">
        <v>365</v>
      </c>
      <c r="C24" s="115" t="s">
        <v>366</v>
      </c>
      <c r="D24" s="115" t="s">
        <v>367</v>
      </c>
      <c r="E24" s="115" t="s">
        <v>368</v>
      </c>
      <c r="F24" s="115" t="s">
        <v>369</v>
      </c>
      <c r="G24" s="115" t="s">
        <v>370</v>
      </c>
      <c r="H24" s="115" t="s">
        <v>371</v>
      </c>
      <c r="I24" s="121" t="s">
        <v>327</v>
      </c>
    </row>
    <row r="25" spans="1:9" ht="15.75" customHeight="1" x14ac:dyDescent="0.3">
      <c r="A25" s="122" t="s">
        <v>372</v>
      </c>
      <c r="B25" s="123">
        <v>2.5</v>
      </c>
      <c r="C25" s="123">
        <v>2.7</v>
      </c>
      <c r="D25" s="123">
        <v>2.9</v>
      </c>
      <c r="E25" s="123">
        <v>3.1</v>
      </c>
      <c r="F25" s="123">
        <v>3.3</v>
      </c>
      <c r="G25" s="123">
        <v>3.2</v>
      </c>
      <c r="H25" s="123">
        <v>3</v>
      </c>
      <c r="I25" s="119" t="s">
        <v>354</v>
      </c>
    </row>
    <row r="26" spans="1:9" ht="15.75" customHeight="1" x14ac:dyDescent="0.3">
      <c r="A26" s="11" t="s">
        <v>373</v>
      </c>
      <c r="B26" s="6">
        <v>1.4</v>
      </c>
      <c r="C26" s="6">
        <v>1.6</v>
      </c>
      <c r="D26" s="6">
        <v>1.8</v>
      </c>
      <c r="E26" s="6">
        <v>2</v>
      </c>
      <c r="F26" s="6">
        <v>2.2000000000000002</v>
      </c>
      <c r="G26" s="6">
        <v>2.1</v>
      </c>
      <c r="H26" s="6">
        <v>2</v>
      </c>
      <c r="I26" s="125" t="s">
        <v>354</v>
      </c>
    </row>
    <row r="28" spans="1:9" ht="15" customHeight="1" x14ac:dyDescent="0.3">
      <c r="A28" s="165" t="s">
        <v>374</v>
      </c>
      <c r="B28" s="165"/>
      <c r="C28" s="165"/>
      <c r="D28" s="165"/>
      <c r="E28" s="165"/>
      <c r="F28" s="165"/>
      <c r="G28" s="165"/>
      <c r="H28" s="165"/>
      <c r="I28" s="165"/>
    </row>
    <row r="29" spans="1:9" ht="15.75" customHeight="1" x14ac:dyDescent="0.3">
      <c r="A29" s="122" t="s">
        <v>375</v>
      </c>
      <c r="B29" s="111" t="s">
        <v>58</v>
      </c>
      <c r="C29" s="111" t="s">
        <v>58</v>
      </c>
      <c r="D29" s="111" t="s">
        <v>58</v>
      </c>
      <c r="E29" s="123">
        <v>36</v>
      </c>
      <c r="F29" s="123">
        <v>22</v>
      </c>
      <c r="G29" s="123">
        <v>45</v>
      </c>
      <c r="H29" s="123">
        <v>66.2</v>
      </c>
      <c r="I29" s="120" t="s">
        <v>327</v>
      </c>
    </row>
    <row r="30" spans="1:9" ht="15.75" customHeight="1" x14ac:dyDescent="0.3">
      <c r="A30" s="11" t="s">
        <v>376</v>
      </c>
      <c r="B30" s="115" t="s">
        <v>58</v>
      </c>
      <c r="C30" s="115" t="s">
        <v>58</v>
      </c>
      <c r="D30" s="115" t="s">
        <v>58</v>
      </c>
      <c r="E30" s="6">
        <v>18</v>
      </c>
      <c r="F30" s="6">
        <v>15</v>
      </c>
      <c r="G30" s="6">
        <v>30</v>
      </c>
      <c r="H30" s="6">
        <v>49.1</v>
      </c>
      <c r="I30" s="121" t="s">
        <v>327</v>
      </c>
    </row>
    <row r="31" spans="1:9" ht="15.75" customHeight="1" x14ac:dyDescent="0.3">
      <c r="A31" s="122" t="s">
        <v>377</v>
      </c>
      <c r="B31" s="111" t="s">
        <v>58</v>
      </c>
      <c r="C31" s="111" t="s">
        <v>58</v>
      </c>
      <c r="D31" s="111" t="s">
        <v>58</v>
      </c>
      <c r="E31" s="123">
        <v>3.5</v>
      </c>
      <c r="F31" s="123">
        <v>3.8</v>
      </c>
      <c r="G31" s="123">
        <v>8.1999999999999993</v>
      </c>
      <c r="H31" s="123">
        <v>11.3</v>
      </c>
      <c r="I31" s="120" t="s">
        <v>327</v>
      </c>
    </row>
    <row r="32" spans="1:9" ht="15.75" customHeight="1" x14ac:dyDescent="0.3">
      <c r="A32" s="11" t="s">
        <v>378</v>
      </c>
      <c r="B32" s="115" t="s">
        <v>58</v>
      </c>
      <c r="C32" s="115" t="s">
        <v>58</v>
      </c>
      <c r="D32" s="115" t="s">
        <v>58</v>
      </c>
      <c r="E32" s="6">
        <v>2.2000000000000002</v>
      </c>
      <c r="F32" s="6">
        <v>2.1</v>
      </c>
      <c r="G32" s="6">
        <v>5.0999999999999996</v>
      </c>
      <c r="H32" s="6">
        <v>9.6</v>
      </c>
      <c r="I32" s="121" t="s">
        <v>327</v>
      </c>
    </row>
    <row r="33" spans="1:9" ht="15.75" customHeight="1" x14ac:dyDescent="0.3">
      <c r="A33" s="122" t="s">
        <v>30</v>
      </c>
      <c r="B33" s="111" t="s">
        <v>58</v>
      </c>
      <c r="C33" s="111" t="s">
        <v>58</v>
      </c>
      <c r="D33" s="111" t="s">
        <v>58</v>
      </c>
      <c r="E33" s="111" t="s">
        <v>379</v>
      </c>
      <c r="F33" s="111" t="s">
        <v>336</v>
      </c>
      <c r="G33" s="111" t="s">
        <v>380</v>
      </c>
      <c r="H33" s="111" t="s">
        <v>31</v>
      </c>
      <c r="I33" s="118" t="s">
        <v>356</v>
      </c>
    </row>
  </sheetData>
  <mergeCells count="5">
    <mergeCell ref="A1:I1"/>
    <mergeCell ref="A4:I4"/>
    <mergeCell ref="A13:I13"/>
    <mergeCell ref="A21:I21"/>
    <mergeCell ref="A28:I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Historical Financials</vt:lpstr>
      <vt:lpstr>DCF Valuation</vt:lpstr>
      <vt:lpstr>Comps Valuation</vt:lpstr>
      <vt:lpstr>Scenarios</vt:lpstr>
      <vt:lpstr>Ratio 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Kaushal</dc:creator>
  <dc:description/>
  <cp:lastModifiedBy>dell</cp:lastModifiedBy>
  <cp:revision>0</cp:revision>
  <dcterms:created xsi:type="dcterms:W3CDTF">2026-02-26T09:20:40Z</dcterms:created>
  <dcterms:modified xsi:type="dcterms:W3CDTF">2026-03-18T11:46:15Z</dcterms:modified>
  <dc:language>en-US</dc:language>
</cp:coreProperties>
</file>